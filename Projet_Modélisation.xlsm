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té De Rouen\Modélisation Financière\"/>
    </mc:Choice>
  </mc:AlternateContent>
  <xr:revisionPtr revIDLastSave="0" documentId="13_ncr:1_{AEFAD7E8-1564-4CCD-A765-C6306FFFF4B4}" xr6:coauthVersionLast="47" xr6:coauthVersionMax="47" xr10:uidLastSave="{00000000-0000-0000-0000-000000000000}"/>
  <bookViews>
    <workbookView xWindow="-108" yWindow="-108" windowWidth="23256" windowHeight="12456" activeTab="2" xr2:uid="{F91766C9-1A23-48BB-953A-55010476AB13}"/>
  </bookViews>
  <sheets>
    <sheet name="STOP LOSS" sheetId="2" r:id="rId1"/>
    <sheet name="OBPI" sheetId="1" r:id="rId2"/>
    <sheet name=" CPPI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 a="1"/>
  <c r="C21" i="2" s="1"/>
  <c r="C19" i="3"/>
  <c r="C18" i="3"/>
  <c r="C18" i="1"/>
  <c r="C17" i="3"/>
  <c r="B5" i="3"/>
  <c r="C5" i="3" s="1"/>
  <c r="C16" i="3"/>
  <c r="C15" i="3"/>
  <c r="C14" i="3"/>
  <c r="C13" i="3"/>
  <c r="B5" i="1"/>
  <c r="C5" i="1" s="1"/>
  <c r="B6" i="2"/>
  <c r="B5" i="2"/>
  <c r="C6" i="2" s="1"/>
  <c r="C23" i="2"/>
  <c r="C22" i="2"/>
  <c r="C20" i="1"/>
  <c r="C19" i="1"/>
  <c r="C18" i="2"/>
  <c r="C17" i="1"/>
  <c r="C16" i="1"/>
  <c r="C15" i="1"/>
  <c r="C14" i="1"/>
  <c r="C13" i="1"/>
  <c r="C20" i="2"/>
  <c r="C19" i="2"/>
  <c r="C17" i="2"/>
  <c r="C16" i="2"/>
  <c r="C15" i="2"/>
  <c r="C14" i="2"/>
  <c r="C13" i="2"/>
  <c r="C21" i="1" l="1" a="1"/>
  <c r="C21" i="1" s="1"/>
  <c r="C22" i="1"/>
  <c r="C23" i="1"/>
  <c r="C23" i="3"/>
  <c r="C22" i="3"/>
  <c r="C21" i="3" a="1"/>
  <c r="C21" i="3" s="1"/>
  <c r="B6" i="3"/>
  <c r="C6" i="3" s="1"/>
  <c r="B6" i="1"/>
  <c r="C6" i="1" s="1"/>
  <c r="C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<sst xmlns="http://schemas.openxmlformats.org/spreadsheetml/2006/main" count="72" uniqueCount="27">
  <si>
    <t>S0</t>
  </si>
  <si>
    <t>mu</t>
  </si>
  <si>
    <t>Sigma</t>
  </si>
  <si>
    <t>rf</t>
  </si>
  <si>
    <t>Plancher</t>
  </si>
  <si>
    <t xml:space="preserve">Valeur du Portefeuille </t>
  </si>
  <si>
    <t xml:space="preserve">Période </t>
  </si>
  <si>
    <t>ID</t>
  </si>
  <si>
    <t>Valeur</t>
  </si>
  <si>
    <t>STAT</t>
  </si>
  <si>
    <t>VP &gt; 80</t>
  </si>
  <si>
    <t>VP_1000 &gt; 80</t>
  </si>
  <si>
    <t xml:space="preserve">Effectifs </t>
  </si>
  <si>
    <t xml:space="preserve">Fréquence </t>
  </si>
  <si>
    <t xml:space="preserve">Rendement Moyen </t>
  </si>
  <si>
    <t>Rendement Minimun</t>
  </si>
  <si>
    <t>Rendement Maximum</t>
  </si>
  <si>
    <t>Volatility(Ecart-Type)</t>
  </si>
  <si>
    <t xml:space="preserve">Rendement Médian </t>
  </si>
  <si>
    <t>Nombre d'observations</t>
  </si>
  <si>
    <t>Sharpe ratio</t>
  </si>
  <si>
    <t xml:space="preserve">Value at Risk </t>
  </si>
  <si>
    <t>Expected Shortfall</t>
  </si>
  <si>
    <t>VALEUR</t>
  </si>
  <si>
    <t xml:space="preserve">ID </t>
  </si>
  <si>
    <t>Frequence</t>
  </si>
  <si>
    <t>Frequences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</si>
</sst>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4" fontId="0" fillId="0" borderId="0" xfId="1" applyNumberFormat="1" applyFont="1"/>
    <xf numFmtId="2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3" fillId="0" borderId="4" xfId="0" applyFon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0" xfId="0" applyFill="1"/>
    <xf numFmtId="0" fontId="0" fillId="0" borderId="0" xfId="0" applyFont="1"/>
    <xf numFmtId="10" fontId="2" fillId="0" borderId="0" xfId="1" applyNumberFormat="1" applyFont="1"/>
    <xf numFmtId="2" fontId="0" fillId="0" borderId="3" xfId="0" applyNumberFormat="1" applyFont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2" fontId="0" fillId="0" borderId="8" xfId="0" applyNumberFormat="1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5" fillId="0" borderId="0" xfId="0" applyFont="1"/>
    <xf numFmtId="2" fontId="5" fillId="0" borderId="0" xfId="0" applyNumberFormat="1" applyFont="1"/>
    <xf numFmtId="1" fontId="5" fillId="0" borderId="0" xfId="0" applyNumberFormat="1" applyFont="1"/>
    <xf numFmtId="0" fontId="5" fillId="0" borderId="0" xfId="0" applyFont="1" applyAlignment="1">
      <alignment horizontal="right"/>
    </xf>
    <xf numFmtId="9" fontId="2" fillId="0" borderId="0" xfId="1" applyFont="1"/>
  </cellXfs>
  <cellStyles count="2">
    <cellStyle name="Normal" xfId="0" builtinId="0"/>
    <cellStyle name="Percent" xfId="1" builtinId="5"/>
  </cellStyles>
  <dxfs count="70"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 patternType="solid">
          <fgColor indexed="64"/>
          <bgColor rgb="FF002060"/>
        </patternFill>
      </fill>
    </dxf>
    <dxf>
      <font>
        <b val="0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</font>
      <numFmt numFmtId="0" formatCode="General"/>
    </dxf>
    <dxf>
      <font>
        <b val="0"/>
      </font>
    </dxf>
    <dxf>
      <font>
        <b val="0"/>
      </font>
    </dxf>
    <dxf>
      <numFmt numFmtId="2" formatCode="0.0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 des Valeurs du Portefeuille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8C1-470C-94A0-228F421FCB45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8C1-470C-94A0-228F421FCB45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fld id="{6540C505-2E69-42B1-8662-386CBB5C1E19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fr-FR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8C1-470C-94A0-228F421FCB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'STOP LOSS'!$C$5:$C$6</c:f>
              <c:numCache>
                <c:formatCode>0.0%</c:formatCode>
                <c:ptCount val="2"/>
                <c:pt idx="0">
                  <c:v>0.72199999999999998</c:v>
                </c:pt>
                <c:pt idx="1">
                  <c:v>0.27800000000000002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C1-470C-94A0-228F421FCB4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Evolution</a:t>
            </a:r>
            <a:r>
              <a:rPr lang="fr-FR" sz="1600" b="1" baseline="0"/>
              <a:t> de la Valeur du Portefeuille 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'STOP LOSS'!$F$2:$F$1001</c:f>
              <c:numCache>
                <c:formatCode>0.00</c:formatCode>
                <c:ptCount val="1000"/>
                <c:pt idx="0">
                  <c:v>108.80165591956738</c:v>
                </c:pt>
                <c:pt idx="1">
                  <c:v>75.838735727644348</c:v>
                </c:pt>
                <c:pt idx="2">
                  <c:v>77.673058158215809</c:v>
                </c:pt>
                <c:pt idx="3">
                  <c:v>141.14036509905631</c:v>
                </c:pt>
                <c:pt idx="4">
                  <c:v>75.505841130016137</c:v>
                </c:pt>
                <c:pt idx="5">
                  <c:v>75.368152214284308</c:v>
                </c:pt>
                <c:pt idx="6">
                  <c:v>131.02311422818954</c:v>
                </c:pt>
                <c:pt idx="7">
                  <c:v>75.610336486248968</c:v>
                </c:pt>
                <c:pt idx="8">
                  <c:v>91.329013056820401</c:v>
                </c:pt>
                <c:pt idx="9">
                  <c:v>92.96001569804686</c:v>
                </c:pt>
                <c:pt idx="10">
                  <c:v>78.928798349036242</c:v>
                </c:pt>
                <c:pt idx="11">
                  <c:v>72.952708024496076</c:v>
                </c:pt>
                <c:pt idx="12">
                  <c:v>76.09066175497361</c:v>
                </c:pt>
                <c:pt idx="13">
                  <c:v>104.1570878474185</c:v>
                </c:pt>
                <c:pt idx="14">
                  <c:v>79.856063768512314</c:v>
                </c:pt>
                <c:pt idx="15">
                  <c:v>78.759623731592598</c:v>
                </c:pt>
                <c:pt idx="16">
                  <c:v>75.676781184168334</c:v>
                </c:pt>
                <c:pt idx="17">
                  <c:v>112.9538436284891</c:v>
                </c:pt>
                <c:pt idx="18">
                  <c:v>96.436327284737786</c:v>
                </c:pt>
                <c:pt idx="19">
                  <c:v>155.458581251932</c:v>
                </c:pt>
                <c:pt idx="20">
                  <c:v>78.09429411657554</c:v>
                </c:pt>
                <c:pt idx="21">
                  <c:v>115.34181959624408</c:v>
                </c:pt>
                <c:pt idx="22">
                  <c:v>119.9222218222976</c:v>
                </c:pt>
                <c:pt idx="23">
                  <c:v>85.986171397074415</c:v>
                </c:pt>
                <c:pt idx="24">
                  <c:v>127.7396905850843</c:v>
                </c:pt>
                <c:pt idx="25">
                  <c:v>88.685056455598186</c:v>
                </c:pt>
                <c:pt idx="26">
                  <c:v>155.51233167736163</c:v>
                </c:pt>
                <c:pt idx="27">
                  <c:v>85.696510013036573</c:v>
                </c:pt>
                <c:pt idx="28">
                  <c:v>84.284359483898584</c:v>
                </c:pt>
                <c:pt idx="29">
                  <c:v>108.73024640186333</c:v>
                </c:pt>
                <c:pt idx="30">
                  <c:v>82.473384896526483</c:v>
                </c:pt>
                <c:pt idx="31">
                  <c:v>65.346648038080289</c:v>
                </c:pt>
                <c:pt idx="32">
                  <c:v>127.14420793534326</c:v>
                </c:pt>
                <c:pt idx="33">
                  <c:v>92.62477344642177</c:v>
                </c:pt>
                <c:pt idx="34">
                  <c:v>73.987275670030655</c:v>
                </c:pt>
                <c:pt idx="35">
                  <c:v>90.197034516150566</c:v>
                </c:pt>
                <c:pt idx="36">
                  <c:v>102.38219213980692</c:v>
                </c:pt>
                <c:pt idx="37">
                  <c:v>94.873724749849131</c:v>
                </c:pt>
                <c:pt idx="38">
                  <c:v>66.149146085594268</c:v>
                </c:pt>
                <c:pt idx="39">
                  <c:v>117.48090821056495</c:v>
                </c:pt>
                <c:pt idx="40">
                  <c:v>78.893923329844952</c:v>
                </c:pt>
                <c:pt idx="41">
                  <c:v>91.220859955266633</c:v>
                </c:pt>
                <c:pt idx="42">
                  <c:v>72.696939183876083</c:v>
                </c:pt>
                <c:pt idx="43">
                  <c:v>117.97105694756684</c:v>
                </c:pt>
                <c:pt idx="44">
                  <c:v>104.94156738583133</c:v>
                </c:pt>
                <c:pt idx="45">
                  <c:v>70.948130377181812</c:v>
                </c:pt>
                <c:pt idx="46">
                  <c:v>80.356578265987324</c:v>
                </c:pt>
                <c:pt idx="47">
                  <c:v>125.19789426193303</c:v>
                </c:pt>
                <c:pt idx="48">
                  <c:v>125.86739244377166</c:v>
                </c:pt>
                <c:pt idx="49">
                  <c:v>78.603433837695945</c:v>
                </c:pt>
                <c:pt idx="50">
                  <c:v>69.139538264976622</c:v>
                </c:pt>
                <c:pt idx="51">
                  <c:v>73.307914104913664</c:v>
                </c:pt>
                <c:pt idx="52">
                  <c:v>201.85665112362079</c:v>
                </c:pt>
                <c:pt idx="53">
                  <c:v>121.53901287235557</c:v>
                </c:pt>
                <c:pt idx="54">
                  <c:v>79.87598943230023</c:v>
                </c:pt>
                <c:pt idx="55">
                  <c:v>78.482299291260119</c:v>
                </c:pt>
                <c:pt idx="56">
                  <c:v>72.312585978226863</c:v>
                </c:pt>
                <c:pt idx="57">
                  <c:v>106.68655168546148</c:v>
                </c:pt>
                <c:pt idx="58">
                  <c:v>89.078577921283156</c:v>
                </c:pt>
                <c:pt idx="59">
                  <c:v>117.75581911312388</c:v>
                </c:pt>
                <c:pt idx="60">
                  <c:v>102.09120422991748</c:v>
                </c:pt>
                <c:pt idx="61">
                  <c:v>96.622852871572533</c:v>
                </c:pt>
                <c:pt idx="62">
                  <c:v>154.23675426554357</c:v>
                </c:pt>
                <c:pt idx="63">
                  <c:v>128.75824459989957</c:v>
                </c:pt>
                <c:pt idx="64">
                  <c:v>102.42469887584944</c:v>
                </c:pt>
                <c:pt idx="65">
                  <c:v>121.97555582086491</c:v>
                </c:pt>
                <c:pt idx="66">
                  <c:v>76.697192178720599</c:v>
                </c:pt>
                <c:pt idx="67">
                  <c:v>169.06146567287473</c:v>
                </c:pt>
                <c:pt idx="68">
                  <c:v>141.08041164966758</c:v>
                </c:pt>
                <c:pt idx="69">
                  <c:v>107.91610955076142</c:v>
                </c:pt>
                <c:pt idx="70">
                  <c:v>67.150709859354308</c:v>
                </c:pt>
                <c:pt idx="71">
                  <c:v>91.328103543600704</c:v>
                </c:pt>
                <c:pt idx="72">
                  <c:v>78.211550191201795</c:v>
                </c:pt>
                <c:pt idx="73">
                  <c:v>110.05758153853094</c:v>
                </c:pt>
                <c:pt idx="74">
                  <c:v>95.699297661022385</c:v>
                </c:pt>
                <c:pt idx="75">
                  <c:v>81.373549705475767</c:v>
                </c:pt>
                <c:pt idx="76">
                  <c:v>74.628707693666257</c:v>
                </c:pt>
                <c:pt idx="77">
                  <c:v>99.568534269845912</c:v>
                </c:pt>
                <c:pt idx="78">
                  <c:v>74.644231959001615</c:v>
                </c:pt>
                <c:pt idx="79">
                  <c:v>79.11956810564071</c:v>
                </c:pt>
                <c:pt idx="80">
                  <c:v>146.25954073388681</c:v>
                </c:pt>
                <c:pt idx="81">
                  <c:v>93.753999488052401</c:v>
                </c:pt>
                <c:pt idx="82">
                  <c:v>119.26396612414197</c:v>
                </c:pt>
                <c:pt idx="83">
                  <c:v>76.334723483084133</c:v>
                </c:pt>
                <c:pt idx="84">
                  <c:v>74.31929997765522</c:v>
                </c:pt>
                <c:pt idx="85">
                  <c:v>74.698215151340037</c:v>
                </c:pt>
                <c:pt idx="86">
                  <c:v>96.319550130828532</c:v>
                </c:pt>
                <c:pt idx="87">
                  <c:v>131.87082485468505</c:v>
                </c:pt>
                <c:pt idx="88">
                  <c:v>74.916651688695381</c:v>
                </c:pt>
                <c:pt idx="89">
                  <c:v>95.083659741583787</c:v>
                </c:pt>
                <c:pt idx="90">
                  <c:v>115.9477384585801</c:v>
                </c:pt>
                <c:pt idx="91">
                  <c:v>99.838964343260002</c:v>
                </c:pt>
                <c:pt idx="92">
                  <c:v>76.06367579663133</c:v>
                </c:pt>
                <c:pt idx="93">
                  <c:v>124.99784647428146</c:v>
                </c:pt>
                <c:pt idx="94">
                  <c:v>89.764802279827862</c:v>
                </c:pt>
                <c:pt idx="95">
                  <c:v>154.02472646173598</c:v>
                </c:pt>
                <c:pt idx="96">
                  <c:v>121.53872580421826</c:v>
                </c:pt>
                <c:pt idx="97">
                  <c:v>79.631705695353745</c:v>
                </c:pt>
                <c:pt idx="98">
                  <c:v>136.00680451146619</c:v>
                </c:pt>
                <c:pt idx="99">
                  <c:v>84.503410841256269</c:v>
                </c:pt>
                <c:pt idx="100">
                  <c:v>95.032897161451899</c:v>
                </c:pt>
                <c:pt idx="101">
                  <c:v>77.673132313987139</c:v>
                </c:pt>
                <c:pt idx="102">
                  <c:v>133.15847603624744</c:v>
                </c:pt>
                <c:pt idx="103">
                  <c:v>100.00012728540997</c:v>
                </c:pt>
                <c:pt idx="104">
                  <c:v>77.294426153948521</c:v>
                </c:pt>
                <c:pt idx="105">
                  <c:v>144.39444429303435</c:v>
                </c:pt>
                <c:pt idx="106">
                  <c:v>173.44821750918484</c:v>
                </c:pt>
                <c:pt idx="107">
                  <c:v>66.318808618730131</c:v>
                </c:pt>
                <c:pt idx="108">
                  <c:v>123.69363680795122</c:v>
                </c:pt>
                <c:pt idx="109">
                  <c:v>104.18705689664935</c:v>
                </c:pt>
                <c:pt idx="110">
                  <c:v>91.302185169252226</c:v>
                </c:pt>
                <c:pt idx="111">
                  <c:v>74.899544723556943</c:v>
                </c:pt>
                <c:pt idx="112">
                  <c:v>121.16184838643457</c:v>
                </c:pt>
                <c:pt idx="113">
                  <c:v>72.98464002816641</c:v>
                </c:pt>
                <c:pt idx="114">
                  <c:v>78.565517190883554</c:v>
                </c:pt>
                <c:pt idx="115">
                  <c:v>89.495747444337709</c:v>
                </c:pt>
                <c:pt idx="116">
                  <c:v>113.90023933035405</c:v>
                </c:pt>
                <c:pt idx="117">
                  <c:v>90.672704669673266</c:v>
                </c:pt>
                <c:pt idx="118">
                  <c:v>72.840692081934236</c:v>
                </c:pt>
                <c:pt idx="119">
                  <c:v>70.211328056806593</c:v>
                </c:pt>
                <c:pt idx="120">
                  <c:v>117.45118012453858</c:v>
                </c:pt>
                <c:pt idx="121">
                  <c:v>108.34585451916192</c:v>
                </c:pt>
                <c:pt idx="122">
                  <c:v>138.28216218423378</c:v>
                </c:pt>
                <c:pt idx="123">
                  <c:v>199.92721555635379</c:v>
                </c:pt>
                <c:pt idx="124">
                  <c:v>156.69594167034893</c:v>
                </c:pt>
                <c:pt idx="125">
                  <c:v>80.022432444919602</c:v>
                </c:pt>
                <c:pt idx="126">
                  <c:v>103.93626445423777</c:v>
                </c:pt>
                <c:pt idx="127">
                  <c:v>115.54689403443329</c:v>
                </c:pt>
                <c:pt idx="128">
                  <c:v>72.940708428125831</c:v>
                </c:pt>
                <c:pt idx="129">
                  <c:v>179.38912794918889</c:v>
                </c:pt>
                <c:pt idx="130">
                  <c:v>74.395030731781944</c:v>
                </c:pt>
                <c:pt idx="131">
                  <c:v>127.93138401760167</c:v>
                </c:pt>
                <c:pt idx="132">
                  <c:v>106.41919989069166</c:v>
                </c:pt>
                <c:pt idx="133">
                  <c:v>138.72036166222247</c:v>
                </c:pt>
                <c:pt idx="134">
                  <c:v>141.70957165673562</c:v>
                </c:pt>
                <c:pt idx="135">
                  <c:v>110.98646194997782</c:v>
                </c:pt>
                <c:pt idx="136">
                  <c:v>101.13914548573797</c:v>
                </c:pt>
                <c:pt idx="137">
                  <c:v>153.69442221825565</c:v>
                </c:pt>
                <c:pt idx="138">
                  <c:v>90.341441394548085</c:v>
                </c:pt>
                <c:pt idx="139">
                  <c:v>118.49392687395908</c:v>
                </c:pt>
                <c:pt idx="140">
                  <c:v>69.465475005863382</c:v>
                </c:pt>
                <c:pt idx="141">
                  <c:v>170.20873244357162</c:v>
                </c:pt>
                <c:pt idx="142">
                  <c:v>87.262466397238555</c:v>
                </c:pt>
                <c:pt idx="143">
                  <c:v>156.76117924121172</c:v>
                </c:pt>
                <c:pt idx="144">
                  <c:v>115.00117914489832</c:v>
                </c:pt>
                <c:pt idx="145">
                  <c:v>88.88727542033493</c:v>
                </c:pt>
                <c:pt idx="146">
                  <c:v>88.561988561562416</c:v>
                </c:pt>
                <c:pt idx="147">
                  <c:v>78.969595428510544</c:v>
                </c:pt>
                <c:pt idx="148">
                  <c:v>139.20082306738283</c:v>
                </c:pt>
                <c:pt idx="149">
                  <c:v>80.210052174154498</c:v>
                </c:pt>
                <c:pt idx="150">
                  <c:v>99.541207225451373</c:v>
                </c:pt>
                <c:pt idx="151">
                  <c:v>92.45364614688188</c:v>
                </c:pt>
                <c:pt idx="152">
                  <c:v>68.634414369756229</c:v>
                </c:pt>
                <c:pt idx="153">
                  <c:v>109.98126014425685</c:v>
                </c:pt>
                <c:pt idx="154">
                  <c:v>159.2425365101285</c:v>
                </c:pt>
                <c:pt idx="155">
                  <c:v>99.334311865361016</c:v>
                </c:pt>
                <c:pt idx="156">
                  <c:v>130.59559213376218</c:v>
                </c:pt>
                <c:pt idx="157">
                  <c:v>111.55376155432708</c:v>
                </c:pt>
                <c:pt idx="158">
                  <c:v>115.90858019120084</c:v>
                </c:pt>
                <c:pt idx="159">
                  <c:v>97.915143110062218</c:v>
                </c:pt>
                <c:pt idx="160">
                  <c:v>81.87508489646261</c:v>
                </c:pt>
                <c:pt idx="161">
                  <c:v>55.323963015883862</c:v>
                </c:pt>
                <c:pt idx="162">
                  <c:v>112.57744983175091</c:v>
                </c:pt>
                <c:pt idx="163">
                  <c:v>142.20703486587493</c:v>
                </c:pt>
                <c:pt idx="164">
                  <c:v>100.32132190876489</c:v>
                </c:pt>
                <c:pt idx="165">
                  <c:v>92.476300399459973</c:v>
                </c:pt>
                <c:pt idx="166">
                  <c:v>135.19424282209539</c:v>
                </c:pt>
                <c:pt idx="167">
                  <c:v>138.59578174326813</c:v>
                </c:pt>
                <c:pt idx="168">
                  <c:v>191.8346777209666</c:v>
                </c:pt>
                <c:pt idx="169">
                  <c:v>85.189149606278093</c:v>
                </c:pt>
                <c:pt idx="170">
                  <c:v>111.91329984204006</c:v>
                </c:pt>
                <c:pt idx="171">
                  <c:v>150.40420975226448</c:v>
                </c:pt>
                <c:pt idx="172">
                  <c:v>118.08723327210744</c:v>
                </c:pt>
                <c:pt idx="173">
                  <c:v>114.92934982507428</c:v>
                </c:pt>
                <c:pt idx="174">
                  <c:v>80.917411892129024</c:v>
                </c:pt>
                <c:pt idx="175">
                  <c:v>156.06457838824235</c:v>
                </c:pt>
                <c:pt idx="176">
                  <c:v>99.153000424121501</c:v>
                </c:pt>
                <c:pt idx="177">
                  <c:v>74.91402473134319</c:v>
                </c:pt>
                <c:pt idx="178">
                  <c:v>161.591358141863</c:v>
                </c:pt>
                <c:pt idx="179">
                  <c:v>93.822769280511821</c:v>
                </c:pt>
                <c:pt idx="180">
                  <c:v>149.75170968797619</c:v>
                </c:pt>
                <c:pt idx="181">
                  <c:v>76.091151609194782</c:v>
                </c:pt>
                <c:pt idx="182">
                  <c:v>88.989914076519142</c:v>
                </c:pt>
                <c:pt idx="183">
                  <c:v>123.35250619710727</c:v>
                </c:pt>
                <c:pt idx="184">
                  <c:v>97.772549241987477</c:v>
                </c:pt>
                <c:pt idx="185">
                  <c:v>164.83575352633605</c:v>
                </c:pt>
                <c:pt idx="186">
                  <c:v>96.465420323282729</c:v>
                </c:pt>
                <c:pt idx="187">
                  <c:v>113.09605927855394</c:v>
                </c:pt>
                <c:pt idx="188">
                  <c:v>87.066231980069659</c:v>
                </c:pt>
                <c:pt idx="189">
                  <c:v>119.54695234276916</c:v>
                </c:pt>
                <c:pt idx="190">
                  <c:v>118.12215910477505</c:v>
                </c:pt>
                <c:pt idx="191">
                  <c:v>156.28463072867333</c:v>
                </c:pt>
                <c:pt idx="192">
                  <c:v>179.23007083685147</c:v>
                </c:pt>
                <c:pt idx="193">
                  <c:v>88.96247226287737</c:v>
                </c:pt>
                <c:pt idx="194">
                  <c:v>128.44379530725544</c:v>
                </c:pt>
                <c:pt idx="195">
                  <c:v>102.48711460223606</c:v>
                </c:pt>
                <c:pt idx="196">
                  <c:v>112.89584197343318</c:v>
                </c:pt>
                <c:pt idx="197">
                  <c:v>112.93570146300593</c:v>
                </c:pt>
                <c:pt idx="198">
                  <c:v>74.742167074019378</c:v>
                </c:pt>
                <c:pt idx="199">
                  <c:v>124.96222325759005</c:v>
                </c:pt>
                <c:pt idx="200">
                  <c:v>74.615461874511297</c:v>
                </c:pt>
                <c:pt idx="201">
                  <c:v>123.44769017575352</c:v>
                </c:pt>
                <c:pt idx="202">
                  <c:v>94.665256406930169</c:v>
                </c:pt>
                <c:pt idx="203">
                  <c:v>83.263809659687809</c:v>
                </c:pt>
                <c:pt idx="204">
                  <c:v>76.010592187501757</c:v>
                </c:pt>
                <c:pt idx="205">
                  <c:v>125.14298795635581</c:v>
                </c:pt>
                <c:pt idx="206">
                  <c:v>103.92019111365926</c:v>
                </c:pt>
                <c:pt idx="207">
                  <c:v>107.22739324633258</c:v>
                </c:pt>
                <c:pt idx="208">
                  <c:v>118.59437099602974</c:v>
                </c:pt>
                <c:pt idx="209">
                  <c:v>121.42125345031084</c:v>
                </c:pt>
                <c:pt idx="210">
                  <c:v>88.524402867732121</c:v>
                </c:pt>
                <c:pt idx="211">
                  <c:v>80.110979056184178</c:v>
                </c:pt>
                <c:pt idx="212">
                  <c:v>119.03426063707241</c:v>
                </c:pt>
                <c:pt idx="213">
                  <c:v>122.41494874914166</c:v>
                </c:pt>
                <c:pt idx="214">
                  <c:v>71.854260860414669</c:v>
                </c:pt>
                <c:pt idx="215">
                  <c:v>96.563575757838336</c:v>
                </c:pt>
                <c:pt idx="216">
                  <c:v>81.264642424825624</c:v>
                </c:pt>
                <c:pt idx="217">
                  <c:v>77.209162417716897</c:v>
                </c:pt>
                <c:pt idx="218">
                  <c:v>135.90113789349797</c:v>
                </c:pt>
                <c:pt idx="219">
                  <c:v>112.73320718542483</c:v>
                </c:pt>
                <c:pt idx="220">
                  <c:v>73.277728110135769</c:v>
                </c:pt>
                <c:pt idx="221">
                  <c:v>82.316906695391907</c:v>
                </c:pt>
                <c:pt idx="222">
                  <c:v>63.787758699647789</c:v>
                </c:pt>
                <c:pt idx="223">
                  <c:v>78.325151479932657</c:v>
                </c:pt>
                <c:pt idx="224">
                  <c:v>119.52215844939356</c:v>
                </c:pt>
                <c:pt idx="225">
                  <c:v>163.33430599309509</c:v>
                </c:pt>
                <c:pt idx="226">
                  <c:v>77.457902224394601</c:v>
                </c:pt>
                <c:pt idx="227">
                  <c:v>75.527288513947639</c:v>
                </c:pt>
                <c:pt idx="228">
                  <c:v>73.855425850002504</c:v>
                </c:pt>
                <c:pt idx="229">
                  <c:v>95.336240043428901</c:v>
                </c:pt>
                <c:pt idx="230">
                  <c:v>98.997478729178113</c:v>
                </c:pt>
                <c:pt idx="231">
                  <c:v>74.420552773124115</c:v>
                </c:pt>
                <c:pt idx="232">
                  <c:v>70.445647593693707</c:v>
                </c:pt>
                <c:pt idx="233">
                  <c:v>62.5499439587824</c:v>
                </c:pt>
                <c:pt idx="234">
                  <c:v>85.431450267242099</c:v>
                </c:pt>
                <c:pt idx="235">
                  <c:v>116.21894871220744</c:v>
                </c:pt>
                <c:pt idx="236">
                  <c:v>102.53569084596984</c:v>
                </c:pt>
                <c:pt idx="237">
                  <c:v>59.160521101383772</c:v>
                </c:pt>
                <c:pt idx="238">
                  <c:v>142.37846415907541</c:v>
                </c:pt>
                <c:pt idx="239">
                  <c:v>71.367214681139188</c:v>
                </c:pt>
                <c:pt idx="240">
                  <c:v>112.65232930088959</c:v>
                </c:pt>
                <c:pt idx="241">
                  <c:v>126.04427800200362</c:v>
                </c:pt>
                <c:pt idx="242">
                  <c:v>74.286874405397185</c:v>
                </c:pt>
                <c:pt idx="243">
                  <c:v>90.063806117913614</c:v>
                </c:pt>
                <c:pt idx="244">
                  <c:v>121.5777070434122</c:v>
                </c:pt>
                <c:pt idx="245">
                  <c:v>150.17130388547372</c:v>
                </c:pt>
                <c:pt idx="246">
                  <c:v>68.37483668647792</c:v>
                </c:pt>
                <c:pt idx="247">
                  <c:v>166.26730607234302</c:v>
                </c:pt>
                <c:pt idx="248">
                  <c:v>78.854817130707332</c:v>
                </c:pt>
                <c:pt idx="249">
                  <c:v>80.533918721966458</c:v>
                </c:pt>
                <c:pt idx="250">
                  <c:v>76.885880181472345</c:v>
                </c:pt>
                <c:pt idx="251">
                  <c:v>82.617887947382528</c:v>
                </c:pt>
                <c:pt idx="252">
                  <c:v>163.48036736942169</c:v>
                </c:pt>
                <c:pt idx="253">
                  <c:v>90.527559061461517</c:v>
                </c:pt>
                <c:pt idx="254">
                  <c:v>62.71522136787403</c:v>
                </c:pt>
                <c:pt idx="255">
                  <c:v>92.843300997768722</c:v>
                </c:pt>
                <c:pt idx="256">
                  <c:v>94.652132480143464</c:v>
                </c:pt>
                <c:pt idx="257">
                  <c:v>104.52199560539991</c:v>
                </c:pt>
                <c:pt idx="258">
                  <c:v>77.563806281357671</c:v>
                </c:pt>
                <c:pt idx="259">
                  <c:v>77.533033022290766</c:v>
                </c:pt>
                <c:pt idx="260">
                  <c:v>76.377215461999484</c:v>
                </c:pt>
                <c:pt idx="261">
                  <c:v>88.499927281612543</c:v>
                </c:pt>
                <c:pt idx="262">
                  <c:v>99.045786669329331</c:v>
                </c:pt>
                <c:pt idx="263">
                  <c:v>140.45972921264215</c:v>
                </c:pt>
                <c:pt idx="264">
                  <c:v>78.609657919719837</c:v>
                </c:pt>
                <c:pt idx="265">
                  <c:v>131.0692033874561</c:v>
                </c:pt>
                <c:pt idx="266">
                  <c:v>134.42715983141014</c:v>
                </c:pt>
                <c:pt idx="267">
                  <c:v>158.92114774347979</c:v>
                </c:pt>
                <c:pt idx="268">
                  <c:v>74.718627540663576</c:v>
                </c:pt>
                <c:pt idx="269">
                  <c:v>133.47903023106767</c:v>
                </c:pt>
                <c:pt idx="270">
                  <c:v>99.396312769154491</c:v>
                </c:pt>
                <c:pt idx="271">
                  <c:v>68.266444022143219</c:v>
                </c:pt>
                <c:pt idx="272">
                  <c:v>76.30522608459431</c:v>
                </c:pt>
                <c:pt idx="273">
                  <c:v>72.707304322953348</c:v>
                </c:pt>
                <c:pt idx="274">
                  <c:v>89.310126967922685</c:v>
                </c:pt>
                <c:pt idx="275">
                  <c:v>72.099714539216649</c:v>
                </c:pt>
                <c:pt idx="276">
                  <c:v>128.80277294179044</c:v>
                </c:pt>
                <c:pt idx="277">
                  <c:v>117.90777457907539</c:v>
                </c:pt>
                <c:pt idx="278">
                  <c:v>134.59294144254994</c:v>
                </c:pt>
                <c:pt idx="279">
                  <c:v>107.86119119045721</c:v>
                </c:pt>
                <c:pt idx="280">
                  <c:v>200.67277943564557</c:v>
                </c:pt>
                <c:pt idx="281">
                  <c:v>79.119692445541133</c:v>
                </c:pt>
                <c:pt idx="282">
                  <c:v>98.83746201240163</c:v>
                </c:pt>
                <c:pt idx="283">
                  <c:v>76.238767165765509</c:v>
                </c:pt>
                <c:pt idx="284">
                  <c:v>69.121834649281382</c:v>
                </c:pt>
                <c:pt idx="285">
                  <c:v>66.180743830073084</c:v>
                </c:pt>
                <c:pt idx="286">
                  <c:v>119.26990662474603</c:v>
                </c:pt>
                <c:pt idx="287">
                  <c:v>74.497068809991433</c:v>
                </c:pt>
                <c:pt idx="288">
                  <c:v>98.898789448816572</c:v>
                </c:pt>
                <c:pt idx="289">
                  <c:v>103.15963864814083</c:v>
                </c:pt>
                <c:pt idx="290">
                  <c:v>98.624720832624106</c:v>
                </c:pt>
                <c:pt idx="291">
                  <c:v>69.15420498258618</c:v>
                </c:pt>
                <c:pt idx="292">
                  <c:v>102.72743957122304</c:v>
                </c:pt>
                <c:pt idx="293">
                  <c:v>77.871131404220918</c:v>
                </c:pt>
                <c:pt idx="294">
                  <c:v>161.23314320796973</c:v>
                </c:pt>
                <c:pt idx="295">
                  <c:v>137.86960469033031</c:v>
                </c:pt>
                <c:pt idx="296">
                  <c:v>79.17226532744931</c:v>
                </c:pt>
                <c:pt idx="297">
                  <c:v>137.88929372102865</c:v>
                </c:pt>
                <c:pt idx="298">
                  <c:v>92.848615246412919</c:v>
                </c:pt>
                <c:pt idx="299">
                  <c:v>79.661308582189164</c:v>
                </c:pt>
                <c:pt idx="300">
                  <c:v>103.34795863917454</c:v>
                </c:pt>
                <c:pt idx="301">
                  <c:v>76.747930197757015</c:v>
                </c:pt>
                <c:pt idx="302">
                  <c:v>111.19979188866098</c:v>
                </c:pt>
                <c:pt idx="303">
                  <c:v>117.74795518711605</c:v>
                </c:pt>
                <c:pt idx="304">
                  <c:v>86.031279679830263</c:v>
                </c:pt>
                <c:pt idx="305">
                  <c:v>102.40777166904013</c:v>
                </c:pt>
                <c:pt idx="306">
                  <c:v>113.698246587358</c:v>
                </c:pt>
                <c:pt idx="307">
                  <c:v>103.77256000108008</c:v>
                </c:pt>
                <c:pt idx="308">
                  <c:v>144.22236557060302</c:v>
                </c:pt>
                <c:pt idx="309">
                  <c:v>143.91540082317371</c:v>
                </c:pt>
                <c:pt idx="310">
                  <c:v>144.44176732162654</c:v>
                </c:pt>
                <c:pt idx="311">
                  <c:v>79.183006893693388</c:v>
                </c:pt>
                <c:pt idx="312">
                  <c:v>106.96554503481735</c:v>
                </c:pt>
                <c:pt idx="313">
                  <c:v>157.26994848993155</c:v>
                </c:pt>
                <c:pt idx="314">
                  <c:v>89.365189324415169</c:v>
                </c:pt>
                <c:pt idx="315">
                  <c:v>149.13469007519018</c:v>
                </c:pt>
                <c:pt idx="316">
                  <c:v>87.6761752225175</c:v>
                </c:pt>
                <c:pt idx="317">
                  <c:v>75.560880860770141</c:v>
                </c:pt>
                <c:pt idx="318">
                  <c:v>133.45234163174328</c:v>
                </c:pt>
                <c:pt idx="319">
                  <c:v>76.130830745302276</c:v>
                </c:pt>
                <c:pt idx="320">
                  <c:v>119.34322934613571</c:v>
                </c:pt>
                <c:pt idx="321">
                  <c:v>88.475032578690175</c:v>
                </c:pt>
                <c:pt idx="322">
                  <c:v>79.055613103034133</c:v>
                </c:pt>
                <c:pt idx="323">
                  <c:v>80.800136126557049</c:v>
                </c:pt>
                <c:pt idx="324">
                  <c:v>82.322276137183366</c:v>
                </c:pt>
                <c:pt idx="325">
                  <c:v>82.804123742440083</c:v>
                </c:pt>
                <c:pt idx="326">
                  <c:v>115.78351262855347</c:v>
                </c:pt>
                <c:pt idx="327">
                  <c:v>90.84866356197243</c:v>
                </c:pt>
                <c:pt idx="328">
                  <c:v>98.241810807934712</c:v>
                </c:pt>
                <c:pt idx="329">
                  <c:v>78.177696443402127</c:v>
                </c:pt>
                <c:pt idx="330">
                  <c:v>154.82168679978139</c:v>
                </c:pt>
                <c:pt idx="331">
                  <c:v>97.896529036539889</c:v>
                </c:pt>
                <c:pt idx="332">
                  <c:v>119.91261448079408</c:v>
                </c:pt>
                <c:pt idx="333">
                  <c:v>73.379851461134322</c:v>
                </c:pt>
                <c:pt idx="334">
                  <c:v>71.249044280277531</c:v>
                </c:pt>
                <c:pt idx="335">
                  <c:v>77.863515578894877</c:v>
                </c:pt>
                <c:pt idx="336">
                  <c:v>95.742607484227037</c:v>
                </c:pt>
                <c:pt idx="337">
                  <c:v>91.876906199914487</c:v>
                </c:pt>
                <c:pt idx="338">
                  <c:v>130.98575527024752</c:v>
                </c:pt>
                <c:pt idx="339">
                  <c:v>77.298432510839731</c:v>
                </c:pt>
                <c:pt idx="340">
                  <c:v>107.66381662538886</c:v>
                </c:pt>
                <c:pt idx="341">
                  <c:v>146.13926800651922</c:v>
                </c:pt>
                <c:pt idx="342">
                  <c:v>91.811004054290308</c:v>
                </c:pt>
                <c:pt idx="343">
                  <c:v>67.139589883774022</c:v>
                </c:pt>
                <c:pt idx="344">
                  <c:v>88.26376380196686</c:v>
                </c:pt>
                <c:pt idx="345">
                  <c:v>124.68547241900275</c:v>
                </c:pt>
                <c:pt idx="346">
                  <c:v>139.579096208262</c:v>
                </c:pt>
                <c:pt idx="347">
                  <c:v>83.222346684377698</c:v>
                </c:pt>
                <c:pt idx="348">
                  <c:v>77.408166907264061</c:v>
                </c:pt>
                <c:pt idx="349">
                  <c:v>107.29730409087956</c:v>
                </c:pt>
                <c:pt idx="350">
                  <c:v>78.232342186706802</c:v>
                </c:pt>
                <c:pt idx="351">
                  <c:v>78.472952946709455</c:v>
                </c:pt>
                <c:pt idx="352">
                  <c:v>75.330584158667293</c:v>
                </c:pt>
                <c:pt idx="353">
                  <c:v>118.32852815705476</c:v>
                </c:pt>
                <c:pt idx="354">
                  <c:v>184.76112570654689</c:v>
                </c:pt>
                <c:pt idx="355">
                  <c:v>127.99535446266623</c:v>
                </c:pt>
                <c:pt idx="356">
                  <c:v>165.5798273312441</c:v>
                </c:pt>
                <c:pt idx="357">
                  <c:v>138.67807323817394</c:v>
                </c:pt>
                <c:pt idx="358">
                  <c:v>82.458385678508975</c:v>
                </c:pt>
                <c:pt idx="359">
                  <c:v>136.40310694249851</c:v>
                </c:pt>
                <c:pt idx="360">
                  <c:v>163.29422432371288</c:v>
                </c:pt>
                <c:pt idx="361">
                  <c:v>64.73121463295351</c:v>
                </c:pt>
                <c:pt idx="362">
                  <c:v>121.03014743272949</c:v>
                </c:pt>
                <c:pt idx="363">
                  <c:v>89.365889753686616</c:v>
                </c:pt>
                <c:pt idx="364">
                  <c:v>125.63277870992133</c:v>
                </c:pt>
                <c:pt idx="365">
                  <c:v>119.40058650040355</c:v>
                </c:pt>
                <c:pt idx="366">
                  <c:v>104.75558932155243</c:v>
                </c:pt>
                <c:pt idx="367">
                  <c:v>135.33791596561392</c:v>
                </c:pt>
                <c:pt idx="368">
                  <c:v>136.01691250815773</c:v>
                </c:pt>
                <c:pt idx="369">
                  <c:v>154.77371573550738</c:v>
                </c:pt>
                <c:pt idx="370">
                  <c:v>87.849441642849641</c:v>
                </c:pt>
                <c:pt idx="371">
                  <c:v>172.50032552465612</c:v>
                </c:pt>
                <c:pt idx="372">
                  <c:v>91.258170733987484</c:v>
                </c:pt>
                <c:pt idx="373">
                  <c:v>144.41567711182921</c:v>
                </c:pt>
                <c:pt idx="374">
                  <c:v>120.09156045028362</c:v>
                </c:pt>
                <c:pt idx="375">
                  <c:v>151.39641797168451</c:v>
                </c:pt>
                <c:pt idx="376">
                  <c:v>78.648623381201844</c:v>
                </c:pt>
                <c:pt idx="377">
                  <c:v>92.885749942740844</c:v>
                </c:pt>
                <c:pt idx="378">
                  <c:v>110.88890405671511</c:v>
                </c:pt>
                <c:pt idx="379">
                  <c:v>147.73918677513444</c:v>
                </c:pt>
                <c:pt idx="380">
                  <c:v>77.584793607448361</c:v>
                </c:pt>
                <c:pt idx="381">
                  <c:v>109.84421989784124</c:v>
                </c:pt>
                <c:pt idx="382">
                  <c:v>174.06222909570138</c:v>
                </c:pt>
                <c:pt idx="383">
                  <c:v>107.70124811492921</c:v>
                </c:pt>
                <c:pt idx="384">
                  <c:v>137.148446973386</c:v>
                </c:pt>
                <c:pt idx="385">
                  <c:v>142.64382139113346</c:v>
                </c:pt>
                <c:pt idx="386">
                  <c:v>93.239054511324213</c:v>
                </c:pt>
                <c:pt idx="387">
                  <c:v>73.998928680577691</c:v>
                </c:pt>
                <c:pt idx="388">
                  <c:v>73.908955753929845</c:v>
                </c:pt>
                <c:pt idx="389">
                  <c:v>81.048018769444056</c:v>
                </c:pt>
                <c:pt idx="390">
                  <c:v>140.26589566955744</c:v>
                </c:pt>
                <c:pt idx="391">
                  <c:v>82.866477333421599</c:v>
                </c:pt>
                <c:pt idx="392">
                  <c:v>196.25531750279839</c:v>
                </c:pt>
                <c:pt idx="393">
                  <c:v>113.12101484565319</c:v>
                </c:pt>
                <c:pt idx="394">
                  <c:v>113.28591700077612</c:v>
                </c:pt>
                <c:pt idx="395">
                  <c:v>169.14754955012287</c:v>
                </c:pt>
                <c:pt idx="396">
                  <c:v>75.360455833455148</c:v>
                </c:pt>
                <c:pt idx="397">
                  <c:v>65.840497456482936</c:v>
                </c:pt>
                <c:pt idx="398">
                  <c:v>78.121064864762872</c:v>
                </c:pt>
                <c:pt idx="399">
                  <c:v>74.834089279578905</c:v>
                </c:pt>
                <c:pt idx="400">
                  <c:v>74.23474030866285</c:v>
                </c:pt>
                <c:pt idx="401">
                  <c:v>126.91539423534618</c:v>
                </c:pt>
                <c:pt idx="402">
                  <c:v>114.07152971525588</c:v>
                </c:pt>
                <c:pt idx="403">
                  <c:v>77.565055666012725</c:v>
                </c:pt>
                <c:pt idx="404">
                  <c:v>96.183677146126087</c:v>
                </c:pt>
                <c:pt idx="405">
                  <c:v>78.976518227543906</c:v>
                </c:pt>
                <c:pt idx="406">
                  <c:v>61.925303544996432</c:v>
                </c:pt>
                <c:pt idx="407">
                  <c:v>112.18097348537617</c:v>
                </c:pt>
                <c:pt idx="408">
                  <c:v>105.32375832596962</c:v>
                </c:pt>
                <c:pt idx="409">
                  <c:v>65.071655490106764</c:v>
                </c:pt>
                <c:pt idx="410">
                  <c:v>74.931777022824846</c:v>
                </c:pt>
                <c:pt idx="411">
                  <c:v>126.89104704448299</c:v>
                </c:pt>
                <c:pt idx="412">
                  <c:v>91.363644934735774</c:v>
                </c:pt>
                <c:pt idx="413">
                  <c:v>110.64839554648366</c:v>
                </c:pt>
                <c:pt idx="414">
                  <c:v>81.26117859407303</c:v>
                </c:pt>
                <c:pt idx="415">
                  <c:v>118.07440385037833</c:v>
                </c:pt>
                <c:pt idx="416">
                  <c:v>98.422859137437399</c:v>
                </c:pt>
                <c:pt idx="417">
                  <c:v>115.34880689236714</c:v>
                </c:pt>
                <c:pt idx="418">
                  <c:v>74.232788103665271</c:v>
                </c:pt>
                <c:pt idx="419">
                  <c:v>77.0687188936365</c:v>
                </c:pt>
                <c:pt idx="420">
                  <c:v>87.465333680686143</c:v>
                </c:pt>
                <c:pt idx="421">
                  <c:v>139.54912938918105</c:v>
                </c:pt>
                <c:pt idx="422">
                  <c:v>88.539273749008217</c:v>
                </c:pt>
                <c:pt idx="423">
                  <c:v>124.10375960969684</c:v>
                </c:pt>
                <c:pt idx="424">
                  <c:v>138.90541786912451</c:v>
                </c:pt>
                <c:pt idx="425">
                  <c:v>73.104599434839116</c:v>
                </c:pt>
                <c:pt idx="426">
                  <c:v>101.68223005522015</c:v>
                </c:pt>
                <c:pt idx="427">
                  <c:v>152.58051967172187</c:v>
                </c:pt>
                <c:pt idx="428">
                  <c:v>75.027558639294625</c:v>
                </c:pt>
                <c:pt idx="429">
                  <c:v>74.924318828458581</c:v>
                </c:pt>
                <c:pt idx="430">
                  <c:v>140.33400044930787</c:v>
                </c:pt>
                <c:pt idx="431">
                  <c:v>218.95847770994487</c:v>
                </c:pt>
                <c:pt idx="432">
                  <c:v>206.06702459328744</c:v>
                </c:pt>
                <c:pt idx="433">
                  <c:v>75.483879070574815</c:v>
                </c:pt>
                <c:pt idx="434">
                  <c:v>121.00990750092994</c:v>
                </c:pt>
                <c:pt idx="435">
                  <c:v>70.825395495281995</c:v>
                </c:pt>
                <c:pt idx="436">
                  <c:v>74.336480196096502</c:v>
                </c:pt>
                <c:pt idx="437">
                  <c:v>158.58301586674978</c:v>
                </c:pt>
                <c:pt idx="438">
                  <c:v>97.865620211557015</c:v>
                </c:pt>
                <c:pt idx="439">
                  <c:v>147.12511105821596</c:v>
                </c:pt>
                <c:pt idx="440">
                  <c:v>74.149651865531055</c:v>
                </c:pt>
                <c:pt idx="441">
                  <c:v>60.958470505442449</c:v>
                </c:pt>
                <c:pt idx="442">
                  <c:v>183.03015713844945</c:v>
                </c:pt>
                <c:pt idx="443">
                  <c:v>99.999904028544492</c:v>
                </c:pt>
                <c:pt idx="444">
                  <c:v>214.24918884283588</c:v>
                </c:pt>
                <c:pt idx="445">
                  <c:v>124.8456291969315</c:v>
                </c:pt>
                <c:pt idx="446">
                  <c:v>77.613136908026689</c:v>
                </c:pt>
                <c:pt idx="447">
                  <c:v>72.47112983091499</c:v>
                </c:pt>
                <c:pt idx="448">
                  <c:v>92.731524078978552</c:v>
                </c:pt>
                <c:pt idx="449">
                  <c:v>111.55720055698768</c:v>
                </c:pt>
                <c:pt idx="450">
                  <c:v>100.24624168202755</c:v>
                </c:pt>
                <c:pt idx="451">
                  <c:v>83.85823494163202</c:v>
                </c:pt>
                <c:pt idx="452">
                  <c:v>70.784765599941309</c:v>
                </c:pt>
                <c:pt idx="453">
                  <c:v>77.450956480481508</c:v>
                </c:pt>
                <c:pt idx="454">
                  <c:v>71.414503872761628</c:v>
                </c:pt>
                <c:pt idx="455">
                  <c:v>76.240290755352987</c:v>
                </c:pt>
                <c:pt idx="456">
                  <c:v>104.60111328062291</c:v>
                </c:pt>
                <c:pt idx="457">
                  <c:v>174.54858437988898</c:v>
                </c:pt>
                <c:pt idx="458">
                  <c:v>117.12626696308779</c:v>
                </c:pt>
                <c:pt idx="459">
                  <c:v>151.62222714986876</c:v>
                </c:pt>
                <c:pt idx="460">
                  <c:v>111.94996402528007</c:v>
                </c:pt>
                <c:pt idx="461">
                  <c:v>114.41846052456319</c:v>
                </c:pt>
                <c:pt idx="462">
                  <c:v>94.457228736944273</c:v>
                </c:pt>
                <c:pt idx="463">
                  <c:v>156.15601407148893</c:v>
                </c:pt>
                <c:pt idx="464">
                  <c:v>107.50708687497441</c:v>
                </c:pt>
                <c:pt idx="465">
                  <c:v>74.046276948638351</c:v>
                </c:pt>
                <c:pt idx="466">
                  <c:v>75.516408964061483</c:v>
                </c:pt>
                <c:pt idx="467">
                  <c:v>96.736101069256819</c:v>
                </c:pt>
                <c:pt idx="468">
                  <c:v>96.251762071272751</c:v>
                </c:pt>
                <c:pt idx="469">
                  <c:v>109.67962134192102</c:v>
                </c:pt>
                <c:pt idx="470">
                  <c:v>80.893934707446988</c:v>
                </c:pt>
                <c:pt idx="471">
                  <c:v>103.62532942070693</c:v>
                </c:pt>
                <c:pt idx="472">
                  <c:v>121.20581250227093</c:v>
                </c:pt>
                <c:pt idx="473">
                  <c:v>94.665400917841396</c:v>
                </c:pt>
                <c:pt idx="474">
                  <c:v>69.419385049854228</c:v>
                </c:pt>
                <c:pt idx="475">
                  <c:v>109.0448140392951</c:v>
                </c:pt>
                <c:pt idx="476">
                  <c:v>124.47628845444962</c:v>
                </c:pt>
                <c:pt idx="477">
                  <c:v>96.368422240013174</c:v>
                </c:pt>
                <c:pt idx="478">
                  <c:v>150.30834115013201</c:v>
                </c:pt>
                <c:pt idx="479">
                  <c:v>126.31928301907202</c:v>
                </c:pt>
                <c:pt idx="480">
                  <c:v>105.24207286582508</c:v>
                </c:pt>
                <c:pt idx="481">
                  <c:v>115.41818316691761</c:v>
                </c:pt>
                <c:pt idx="482">
                  <c:v>124.09122423108884</c:v>
                </c:pt>
                <c:pt idx="483">
                  <c:v>138.70705352987497</c:v>
                </c:pt>
                <c:pt idx="484">
                  <c:v>68.343580401444456</c:v>
                </c:pt>
                <c:pt idx="485">
                  <c:v>107.56214551832126</c:v>
                </c:pt>
                <c:pt idx="486">
                  <c:v>119.16480846731785</c:v>
                </c:pt>
                <c:pt idx="487">
                  <c:v>99.717792629529427</c:v>
                </c:pt>
                <c:pt idx="488">
                  <c:v>72.676779164898548</c:v>
                </c:pt>
                <c:pt idx="489">
                  <c:v>156.49600519799131</c:v>
                </c:pt>
                <c:pt idx="490">
                  <c:v>75.440523470618174</c:v>
                </c:pt>
                <c:pt idx="491">
                  <c:v>111.01592992606069</c:v>
                </c:pt>
                <c:pt idx="492">
                  <c:v>79.022619873294033</c:v>
                </c:pt>
                <c:pt idx="493">
                  <c:v>66.225698771221602</c:v>
                </c:pt>
                <c:pt idx="494">
                  <c:v>165.21300432116703</c:v>
                </c:pt>
                <c:pt idx="495">
                  <c:v>91.581214920491007</c:v>
                </c:pt>
                <c:pt idx="496">
                  <c:v>191.83413535087732</c:v>
                </c:pt>
                <c:pt idx="497">
                  <c:v>124.30249232014656</c:v>
                </c:pt>
                <c:pt idx="498">
                  <c:v>71.343190510309739</c:v>
                </c:pt>
                <c:pt idx="499">
                  <c:v>77.301563032848037</c:v>
                </c:pt>
                <c:pt idx="500">
                  <c:v>78.704843046718281</c:v>
                </c:pt>
                <c:pt idx="501">
                  <c:v>67.020851288707703</c:v>
                </c:pt>
                <c:pt idx="502">
                  <c:v>137.42226272582622</c:v>
                </c:pt>
                <c:pt idx="503">
                  <c:v>91.244034902261959</c:v>
                </c:pt>
                <c:pt idx="504">
                  <c:v>134.58366010356525</c:v>
                </c:pt>
                <c:pt idx="505">
                  <c:v>121.91959344705514</c:v>
                </c:pt>
                <c:pt idx="506">
                  <c:v>111.51202443252801</c:v>
                </c:pt>
                <c:pt idx="507">
                  <c:v>66.234192896278145</c:v>
                </c:pt>
                <c:pt idx="508">
                  <c:v>132.32934207691648</c:v>
                </c:pt>
                <c:pt idx="509">
                  <c:v>174.7708011538968</c:v>
                </c:pt>
                <c:pt idx="510">
                  <c:v>76.817738091234801</c:v>
                </c:pt>
                <c:pt idx="511">
                  <c:v>98.820110788184166</c:v>
                </c:pt>
                <c:pt idx="512">
                  <c:v>98.851136903496212</c:v>
                </c:pt>
                <c:pt idx="513">
                  <c:v>93.632121123950938</c:v>
                </c:pt>
                <c:pt idx="514">
                  <c:v>65.054066004669735</c:v>
                </c:pt>
                <c:pt idx="515">
                  <c:v>107.76594803936857</c:v>
                </c:pt>
                <c:pt idx="516">
                  <c:v>137.99312580550398</c:v>
                </c:pt>
                <c:pt idx="517">
                  <c:v>78.881732828186301</c:v>
                </c:pt>
                <c:pt idx="518">
                  <c:v>81.088092746646851</c:v>
                </c:pt>
                <c:pt idx="519">
                  <c:v>143.83239125984483</c:v>
                </c:pt>
                <c:pt idx="520">
                  <c:v>147.92881977254964</c:v>
                </c:pt>
                <c:pt idx="521">
                  <c:v>127.46091947448691</c:v>
                </c:pt>
                <c:pt idx="522">
                  <c:v>96.658419627278576</c:v>
                </c:pt>
                <c:pt idx="523">
                  <c:v>64.294178282892986</c:v>
                </c:pt>
                <c:pt idx="524">
                  <c:v>130.98838326736521</c:v>
                </c:pt>
                <c:pt idx="525">
                  <c:v>124.67790922394323</c:v>
                </c:pt>
                <c:pt idx="526">
                  <c:v>188.9487629332568</c:v>
                </c:pt>
                <c:pt idx="527">
                  <c:v>130.66590795853705</c:v>
                </c:pt>
                <c:pt idx="528">
                  <c:v>62.944092750516688</c:v>
                </c:pt>
                <c:pt idx="529">
                  <c:v>118.04693269031641</c:v>
                </c:pt>
                <c:pt idx="530">
                  <c:v>71.724889577122894</c:v>
                </c:pt>
                <c:pt idx="531">
                  <c:v>88.646576467248138</c:v>
                </c:pt>
                <c:pt idx="532">
                  <c:v>147.01752531035541</c:v>
                </c:pt>
                <c:pt idx="533">
                  <c:v>70.326390482845525</c:v>
                </c:pt>
                <c:pt idx="534">
                  <c:v>66.351752536655184</c:v>
                </c:pt>
                <c:pt idx="535">
                  <c:v>105.31754317496734</c:v>
                </c:pt>
                <c:pt idx="536">
                  <c:v>65.04838246358338</c:v>
                </c:pt>
                <c:pt idx="537">
                  <c:v>176.84987231911759</c:v>
                </c:pt>
                <c:pt idx="538">
                  <c:v>128.71898465909317</c:v>
                </c:pt>
                <c:pt idx="539">
                  <c:v>79.193455121991107</c:v>
                </c:pt>
                <c:pt idx="540">
                  <c:v>177.11183861068309</c:v>
                </c:pt>
                <c:pt idx="541">
                  <c:v>127.1115680002992</c:v>
                </c:pt>
                <c:pt idx="542">
                  <c:v>77.834291646621352</c:v>
                </c:pt>
                <c:pt idx="543">
                  <c:v>78.645744791369751</c:v>
                </c:pt>
                <c:pt idx="544">
                  <c:v>59.614682322089557</c:v>
                </c:pt>
                <c:pt idx="545">
                  <c:v>82.20083378827259</c:v>
                </c:pt>
                <c:pt idx="546">
                  <c:v>122.46606461215596</c:v>
                </c:pt>
                <c:pt idx="547">
                  <c:v>77.580053673683423</c:v>
                </c:pt>
                <c:pt idx="548">
                  <c:v>99.714704598069616</c:v>
                </c:pt>
                <c:pt idx="549">
                  <c:v>143.28846671569607</c:v>
                </c:pt>
                <c:pt idx="550">
                  <c:v>172.5705879660556</c:v>
                </c:pt>
                <c:pt idx="551">
                  <c:v>122.7192474919496</c:v>
                </c:pt>
                <c:pt idx="552">
                  <c:v>147.81482398588898</c:v>
                </c:pt>
                <c:pt idx="553">
                  <c:v>147.57934430673646</c:v>
                </c:pt>
                <c:pt idx="554">
                  <c:v>74.867190562389411</c:v>
                </c:pt>
                <c:pt idx="555">
                  <c:v>134.67378721518861</c:v>
                </c:pt>
                <c:pt idx="556">
                  <c:v>85.25570695350055</c:v>
                </c:pt>
                <c:pt idx="557">
                  <c:v>64.548112248688454</c:v>
                </c:pt>
                <c:pt idx="558">
                  <c:v>74.368746910819496</c:v>
                </c:pt>
                <c:pt idx="559">
                  <c:v>152.83596368198488</c:v>
                </c:pt>
                <c:pt idx="560">
                  <c:v>100.70445780566658</c:v>
                </c:pt>
                <c:pt idx="561">
                  <c:v>74.625060007101297</c:v>
                </c:pt>
                <c:pt idx="562">
                  <c:v>105.32576848475293</c:v>
                </c:pt>
                <c:pt idx="563">
                  <c:v>75.506311488062011</c:v>
                </c:pt>
                <c:pt idx="564">
                  <c:v>136.38666308335692</c:v>
                </c:pt>
                <c:pt idx="565">
                  <c:v>98.965835293677998</c:v>
                </c:pt>
                <c:pt idx="566">
                  <c:v>105.35769468748292</c:v>
                </c:pt>
                <c:pt idx="567">
                  <c:v>122.68083621134139</c:v>
                </c:pt>
                <c:pt idx="568">
                  <c:v>78.390630159726143</c:v>
                </c:pt>
                <c:pt idx="569">
                  <c:v>82.471625913367632</c:v>
                </c:pt>
                <c:pt idx="570">
                  <c:v>148.79799961696958</c:v>
                </c:pt>
                <c:pt idx="571">
                  <c:v>79.150886720346378</c:v>
                </c:pt>
                <c:pt idx="572">
                  <c:v>71.388390547089472</c:v>
                </c:pt>
                <c:pt idx="573">
                  <c:v>73.767540266640566</c:v>
                </c:pt>
                <c:pt idx="574">
                  <c:v>117.41582534700966</c:v>
                </c:pt>
                <c:pt idx="575">
                  <c:v>97.44826797023606</c:v>
                </c:pt>
                <c:pt idx="576">
                  <c:v>87.069712733453827</c:v>
                </c:pt>
                <c:pt idx="577">
                  <c:v>126.35879589635476</c:v>
                </c:pt>
                <c:pt idx="578">
                  <c:v>103.21189956003711</c:v>
                </c:pt>
                <c:pt idx="579">
                  <c:v>113.35967755762049</c:v>
                </c:pt>
                <c:pt idx="580">
                  <c:v>88.937808213853316</c:v>
                </c:pt>
                <c:pt idx="581">
                  <c:v>73.643100064590612</c:v>
                </c:pt>
                <c:pt idx="582">
                  <c:v>96.276119300803131</c:v>
                </c:pt>
                <c:pt idx="583">
                  <c:v>115.90731182631019</c:v>
                </c:pt>
                <c:pt idx="584">
                  <c:v>76.971387754965349</c:v>
                </c:pt>
                <c:pt idx="585">
                  <c:v>135.33670191617364</c:v>
                </c:pt>
                <c:pt idx="586">
                  <c:v>73.827067821763038</c:v>
                </c:pt>
                <c:pt idx="587">
                  <c:v>72.017606292458652</c:v>
                </c:pt>
                <c:pt idx="588">
                  <c:v>160.62487085800666</c:v>
                </c:pt>
                <c:pt idx="589">
                  <c:v>127.29602096573372</c:v>
                </c:pt>
                <c:pt idx="590">
                  <c:v>73.358133986044308</c:v>
                </c:pt>
                <c:pt idx="591">
                  <c:v>129.02530351555123</c:v>
                </c:pt>
                <c:pt idx="592">
                  <c:v>116.77085637480371</c:v>
                </c:pt>
                <c:pt idx="593">
                  <c:v>107.22913807140499</c:v>
                </c:pt>
                <c:pt idx="594">
                  <c:v>174.46448414889119</c:v>
                </c:pt>
                <c:pt idx="595">
                  <c:v>128.14933367741938</c:v>
                </c:pt>
                <c:pt idx="596">
                  <c:v>93.832485480055254</c:v>
                </c:pt>
                <c:pt idx="597">
                  <c:v>106.0744735235082</c:v>
                </c:pt>
                <c:pt idx="598">
                  <c:v>77.986801892733155</c:v>
                </c:pt>
                <c:pt idx="599">
                  <c:v>99.967416922123007</c:v>
                </c:pt>
                <c:pt idx="600">
                  <c:v>106.14704119991654</c:v>
                </c:pt>
                <c:pt idx="601">
                  <c:v>112.43137356854027</c:v>
                </c:pt>
                <c:pt idx="602">
                  <c:v>95.431618976831643</c:v>
                </c:pt>
                <c:pt idx="603">
                  <c:v>77.862228245955777</c:v>
                </c:pt>
                <c:pt idx="604">
                  <c:v>78.253311396055295</c:v>
                </c:pt>
                <c:pt idx="605">
                  <c:v>88.791283953198629</c:v>
                </c:pt>
                <c:pt idx="606">
                  <c:v>100.35184143739146</c:v>
                </c:pt>
                <c:pt idx="607">
                  <c:v>88.091008058684039</c:v>
                </c:pt>
                <c:pt idx="608">
                  <c:v>95.571384636245199</c:v>
                </c:pt>
                <c:pt idx="609">
                  <c:v>86.569288863379867</c:v>
                </c:pt>
                <c:pt idx="610">
                  <c:v>172.84563434751493</c:v>
                </c:pt>
                <c:pt idx="611">
                  <c:v>75.553485916692949</c:v>
                </c:pt>
                <c:pt idx="612">
                  <c:v>62.318219924088773</c:v>
                </c:pt>
                <c:pt idx="613">
                  <c:v>68.732003308274301</c:v>
                </c:pt>
                <c:pt idx="614">
                  <c:v>122.28016764839683</c:v>
                </c:pt>
                <c:pt idx="615">
                  <c:v>149.74615162119315</c:v>
                </c:pt>
                <c:pt idx="616">
                  <c:v>79.110702154238723</c:v>
                </c:pt>
                <c:pt idx="617">
                  <c:v>107.24819845036231</c:v>
                </c:pt>
                <c:pt idx="618">
                  <c:v>72.858921788818677</c:v>
                </c:pt>
                <c:pt idx="619">
                  <c:v>63.102165770532977</c:v>
                </c:pt>
                <c:pt idx="620">
                  <c:v>84.520550225241109</c:v>
                </c:pt>
                <c:pt idx="621">
                  <c:v>83.772829508865428</c:v>
                </c:pt>
                <c:pt idx="622">
                  <c:v>129.5387861044656</c:v>
                </c:pt>
                <c:pt idx="623">
                  <c:v>108.61103180124204</c:v>
                </c:pt>
                <c:pt idx="624">
                  <c:v>136.39282950666632</c:v>
                </c:pt>
                <c:pt idx="625">
                  <c:v>136.30549970913978</c:v>
                </c:pt>
                <c:pt idx="626">
                  <c:v>102.37190128651829</c:v>
                </c:pt>
                <c:pt idx="627">
                  <c:v>86.766487850987829</c:v>
                </c:pt>
                <c:pt idx="628">
                  <c:v>143.86548714427192</c:v>
                </c:pt>
                <c:pt idx="629">
                  <c:v>101.05394209307845</c:v>
                </c:pt>
                <c:pt idx="630">
                  <c:v>97.20988457772151</c:v>
                </c:pt>
                <c:pt idx="631">
                  <c:v>127.20208479561684</c:v>
                </c:pt>
                <c:pt idx="632">
                  <c:v>76.76560305935547</c:v>
                </c:pt>
                <c:pt idx="633">
                  <c:v>126.84921585752279</c:v>
                </c:pt>
                <c:pt idx="634">
                  <c:v>78.813721929826343</c:v>
                </c:pt>
                <c:pt idx="635">
                  <c:v>89.867163272512428</c:v>
                </c:pt>
                <c:pt idx="636">
                  <c:v>94.487480066637218</c:v>
                </c:pt>
                <c:pt idx="637">
                  <c:v>130.61905150975352</c:v>
                </c:pt>
                <c:pt idx="638">
                  <c:v>75.419271144650651</c:v>
                </c:pt>
                <c:pt idx="639">
                  <c:v>69.200746651082994</c:v>
                </c:pt>
                <c:pt idx="640">
                  <c:v>109.14566594110616</c:v>
                </c:pt>
                <c:pt idx="641">
                  <c:v>136.40948174735885</c:v>
                </c:pt>
                <c:pt idx="642">
                  <c:v>113.64597468938176</c:v>
                </c:pt>
                <c:pt idx="643">
                  <c:v>275.65525516308202</c:v>
                </c:pt>
                <c:pt idx="644">
                  <c:v>85.357743912836256</c:v>
                </c:pt>
                <c:pt idx="645">
                  <c:v>207.83150838778278</c:v>
                </c:pt>
                <c:pt idx="646">
                  <c:v>89.347137726554735</c:v>
                </c:pt>
                <c:pt idx="647">
                  <c:v>108.0994559287776</c:v>
                </c:pt>
                <c:pt idx="648">
                  <c:v>75.878073410060125</c:v>
                </c:pt>
                <c:pt idx="649">
                  <c:v>144.94673724591763</c:v>
                </c:pt>
                <c:pt idx="650">
                  <c:v>102.18113336204891</c:v>
                </c:pt>
                <c:pt idx="651">
                  <c:v>115.65595309613886</c:v>
                </c:pt>
                <c:pt idx="652">
                  <c:v>91.08417338782175</c:v>
                </c:pt>
                <c:pt idx="653">
                  <c:v>90.579381995941119</c:v>
                </c:pt>
                <c:pt idx="654">
                  <c:v>83.317824782624598</c:v>
                </c:pt>
                <c:pt idx="655">
                  <c:v>152.17729797810884</c:v>
                </c:pt>
                <c:pt idx="656">
                  <c:v>103.19501922998055</c:v>
                </c:pt>
                <c:pt idx="657">
                  <c:v>84.54942556847061</c:v>
                </c:pt>
                <c:pt idx="658">
                  <c:v>77.715045825555478</c:v>
                </c:pt>
                <c:pt idx="659">
                  <c:v>157.13237740275343</c:v>
                </c:pt>
                <c:pt idx="660">
                  <c:v>70.517642727824949</c:v>
                </c:pt>
                <c:pt idx="661">
                  <c:v>97.991537148949092</c:v>
                </c:pt>
                <c:pt idx="662">
                  <c:v>212.28128473020942</c:v>
                </c:pt>
                <c:pt idx="663">
                  <c:v>110.37058063239382</c:v>
                </c:pt>
                <c:pt idx="664">
                  <c:v>89.101804082030071</c:v>
                </c:pt>
                <c:pt idx="665">
                  <c:v>73.763841027781623</c:v>
                </c:pt>
                <c:pt idx="666">
                  <c:v>261.65219194278654</c:v>
                </c:pt>
                <c:pt idx="667">
                  <c:v>75.559083606608581</c:v>
                </c:pt>
                <c:pt idx="668">
                  <c:v>148.45766337763087</c:v>
                </c:pt>
                <c:pt idx="669">
                  <c:v>105.00464682389182</c:v>
                </c:pt>
                <c:pt idx="670">
                  <c:v>73.150014237450023</c:v>
                </c:pt>
                <c:pt idx="671">
                  <c:v>90.450941046953886</c:v>
                </c:pt>
                <c:pt idx="672">
                  <c:v>140.54240493643059</c:v>
                </c:pt>
                <c:pt idx="673">
                  <c:v>187.42096262044339</c:v>
                </c:pt>
                <c:pt idx="674">
                  <c:v>201.69810112226727</c:v>
                </c:pt>
                <c:pt idx="675">
                  <c:v>132.10005603658516</c:v>
                </c:pt>
                <c:pt idx="676">
                  <c:v>122.91300168782493</c:v>
                </c:pt>
                <c:pt idx="677">
                  <c:v>77.879955813549586</c:v>
                </c:pt>
                <c:pt idx="678">
                  <c:v>118.35070846825573</c:v>
                </c:pt>
                <c:pt idx="679">
                  <c:v>107.02352870488757</c:v>
                </c:pt>
                <c:pt idx="680">
                  <c:v>108.63272891604191</c:v>
                </c:pt>
                <c:pt idx="681">
                  <c:v>159.69063978693069</c:v>
                </c:pt>
                <c:pt idx="682">
                  <c:v>124.59377759031327</c:v>
                </c:pt>
                <c:pt idx="683">
                  <c:v>103.9764129822378</c:v>
                </c:pt>
                <c:pt idx="684">
                  <c:v>66.631407001737188</c:v>
                </c:pt>
                <c:pt idx="685">
                  <c:v>115.02028804224692</c:v>
                </c:pt>
                <c:pt idx="686">
                  <c:v>134.40077693748512</c:v>
                </c:pt>
                <c:pt idx="687">
                  <c:v>105.65406667954056</c:v>
                </c:pt>
                <c:pt idx="688">
                  <c:v>146.58782439623423</c:v>
                </c:pt>
                <c:pt idx="689">
                  <c:v>185.09944860843089</c:v>
                </c:pt>
                <c:pt idx="690">
                  <c:v>133.33388169141972</c:v>
                </c:pt>
                <c:pt idx="691">
                  <c:v>81.141529736295055</c:v>
                </c:pt>
                <c:pt idx="692">
                  <c:v>90.247412290417856</c:v>
                </c:pt>
                <c:pt idx="693">
                  <c:v>97.946360515745724</c:v>
                </c:pt>
                <c:pt idx="694">
                  <c:v>79.20495184606412</c:v>
                </c:pt>
                <c:pt idx="695">
                  <c:v>68.104292160242167</c:v>
                </c:pt>
                <c:pt idx="696">
                  <c:v>120.21374648009518</c:v>
                </c:pt>
                <c:pt idx="697">
                  <c:v>108.59160090317921</c:v>
                </c:pt>
                <c:pt idx="698">
                  <c:v>126.12462053001241</c:v>
                </c:pt>
                <c:pt idx="699">
                  <c:v>85.868691696261166</c:v>
                </c:pt>
                <c:pt idx="700">
                  <c:v>70.487343595338984</c:v>
                </c:pt>
                <c:pt idx="701">
                  <c:v>78.152484330597616</c:v>
                </c:pt>
                <c:pt idx="702">
                  <c:v>70.026330324016058</c:v>
                </c:pt>
                <c:pt idx="703">
                  <c:v>112.94253165003947</c:v>
                </c:pt>
                <c:pt idx="704">
                  <c:v>136.71604714752019</c:v>
                </c:pt>
                <c:pt idx="705">
                  <c:v>103.52413736186372</c:v>
                </c:pt>
                <c:pt idx="706">
                  <c:v>146.43477088070927</c:v>
                </c:pt>
                <c:pt idx="707">
                  <c:v>81.594300476280978</c:v>
                </c:pt>
                <c:pt idx="708">
                  <c:v>129.7884240281947</c:v>
                </c:pt>
                <c:pt idx="709">
                  <c:v>90.438648336913758</c:v>
                </c:pt>
                <c:pt idx="710">
                  <c:v>121.61320959374034</c:v>
                </c:pt>
                <c:pt idx="711">
                  <c:v>72.304972713754339</c:v>
                </c:pt>
                <c:pt idx="712">
                  <c:v>83.065262996713344</c:v>
                </c:pt>
                <c:pt idx="713">
                  <c:v>121.51429467682966</c:v>
                </c:pt>
                <c:pt idx="714">
                  <c:v>93.399758431551518</c:v>
                </c:pt>
                <c:pt idx="715">
                  <c:v>81.987770692539257</c:v>
                </c:pt>
                <c:pt idx="716">
                  <c:v>89.702405579152455</c:v>
                </c:pt>
                <c:pt idx="717">
                  <c:v>81.453503727293835</c:v>
                </c:pt>
                <c:pt idx="718">
                  <c:v>105.02195176253872</c:v>
                </c:pt>
                <c:pt idx="719">
                  <c:v>66.029643612111386</c:v>
                </c:pt>
                <c:pt idx="720">
                  <c:v>88.32848516987616</c:v>
                </c:pt>
                <c:pt idx="721">
                  <c:v>122.31497827041166</c:v>
                </c:pt>
                <c:pt idx="722">
                  <c:v>121.10863092364714</c:v>
                </c:pt>
                <c:pt idx="723">
                  <c:v>74.234238166772926</c:v>
                </c:pt>
                <c:pt idx="724">
                  <c:v>115.89761205586989</c:v>
                </c:pt>
                <c:pt idx="725">
                  <c:v>74.138029341989636</c:v>
                </c:pt>
                <c:pt idx="726">
                  <c:v>70.852212470881142</c:v>
                </c:pt>
                <c:pt idx="727">
                  <c:v>94.131940282562695</c:v>
                </c:pt>
                <c:pt idx="728">
                  <c:v>71.74789754822217</c:v>
                </c:pt>
                <c:pt idx="729">
                  <c:v>100.29951996975676</c:v>
                </c:pt>
                <c:pt idx="730">
                  <c:v>61.164164761304832</c:v>
                </c:pt>
                <c:pt idx="731">
                  <c:v>141.28542378935902</c:v>
                </c:pt>
                <c:pt idx="732">
                  <c:v>125.63974467644016</c:v>
                </c:pt>
                <c:pt idx="733">
                  <c:v>97.280706021298002</c:v>
                </c:pt>
                <c:pt idx="734">
                  <c:v>225.12067828578085</c:v>
                </c:pt>
                <c:pt idx="735">
                  <c:v>60.212205227815609</c:v>
                </c:pt>
                <c:pt idx="736">
                  <c:v>111.74123965574995</c:v>
                </c:pt>
                <c:pt idx="737">
                  <c:v>163.74100350866419</c:v>
                </c:pt>
                <c:pt idx="738">
                  <c:v>75.976088196917772</c:v>
                </c:pt>
                <c:pt idx="739">
                  <c:v>135.33039687967124</c:v>
                </c:pt>
                <c:pt idx="740">
                  <c:v>187.95639703627316</c:v>
                </c:pt>
                <c:pt idx="741">
                  <c:v>100.0682387578657</c:v>
                </c:pt>
                <c:pt idx="742">
                  <c:v>132.93633573413516</c:v>
                </c:pt>
                <c:pt idx="743">
                  <c:v>95.12434368409086</c:v>
                </c:pt>
                <c:pt idx="744">
                  <c:v>208.53689573339972</c:v>
                </c:pt>
                <c:pt idx="745">
                  <c:v>107.02126086063006</c:v>
                </c:pt>
                <c:pt idx="746">
                  <c:v>79.46391010374721</c:v>
                </c:pt>
                <c:pt idx="747">
                  <c:v>188.50614953472524</c:v>
                </c:pt>
                <c:pt idx="748">
                  <c:v>106.2197552522219</c:v>
                </c:pt>
                <c:pt idx="749">
                  <c:v>103.42058135467857</c:v>
                </c:pt>
                <c:pt idx="750">
                  <c:v>103.61431971171511</c:v>
                </c:pt>
                <c:pt idx="751">
                  <c:v>69.064544051669657</c:v>
                </c:pt>
                <c:pt idx="752">
                  <c:v>81.859503351775388</c:v>
                </c:pt>
                <c:pt idx="753">
                  <c:v>66.664874991431802</c:v>
                </c:pt>
                <c:pt idx="754">
                  <c:v>117.31414474184824</c:v>
                </c:pt>
                <c:pt idx="755">
                  <c:v>78.653841961935285</c:v>
                </c:pt>
                <c:pt idx="756">
                  <c:v>149.78247876501578</c:v>
                </c:pt>
                <c:pt idx="757">
                  <c:v>128.14882114286939</c:v>
                </c:pt>
                <c:pt idx="758">
                  <c:v>103.04256806932365</c:v>
                </c:pt>
                <c:pt idx="759">
                  <c:v>78.347748058544198</c:v>
                </c:pt>
                <c:pt idx="760">
                  <c:v>173.30686232486616</c:v>
                </c:pt>
                <c:pt idx="761">
                  <c:v>85.110409199636891</c:v>
                </c:pt>
                <c:pt idx="762">
                  <c:v>88.197169147692321</c:v>
                </c:pt>
                <c:pt idx="763">
                  <c:v>123.960491548935</c:v>
                </c:pt>
                <c:pt idx="764">
                  <c:v>103.7832991377491</c:v>
                </c:pt>
                <c:pt idx="765">
                  <c:v>99.306692962850548</c:v>
                </c:pt>
                <c:pt idx="766">
                  <c:v>134.3276346290275</c:v>
                </c:pt>
                <c:pt idx="767">
                  <c:v>207.56365170955121</c:v>
                </c:pt>
                <c:pt idx="768">
                  <c:v>114.98310434795938</c:v>
                </c:pt>
                <c:pt idx="769">
                  <c:v>155.62802734140428</c:v>
                </c:pt>
                <c:pt idx="770">
                  <c:v>148.8337289004856</c:v>
                </c:pt>
                <c:pt idx="771">
                  <c:v>146.50126572463765</c:v>
                </c:pt>
                <c:pt idx="772">
                  <c:v>103.25777918973233</c:v>
                </c:pt>
                <c:pt idx="773">
                  <c:v>100.40927407164489</c:v>
                </c:pt>
                <c:pt idx="774">
                  <c:v>98.705435134468203</c:v>
                </c:pt>
                <c:pt idx="775">
                  <c:v>96.554358028360966</c:v>
                </c:pt>
                <c:pt idx="776">
                  <c:v>143.61309213814633</c:v>
                </c:pt>
                <c:pt idx="777">
                  <c:v>71.099411202708097</c:v>
                </c:pt>
                <c:pt idx="778">
                  <c:v>115.51752303225874</c:v>
                </c:pt>
                <c:pt idx="779">
                  <c:v>128.85739593306479</c:v>
                </c:pt>
                <c:pt idx="780">
                  <c:v>68.291952933108377</c:v>
                </c:pt>
                <c:pt idx="781">
                  <c:v>66.02920265318383</c:v>
                </c:pt>
                <c:pt idx="782">
                  <c:v>77.189997514953902</c:v>
                </c:pt>
                <c:pt idx="783">
                  <c:v>156.49770467264</c:v>
                </c:pt>
                <c:pt idx="784">
                  <c:v>141.87923895163112</c:v>
                </c:pt>
                <c:pt idx="785">
                  <c:v>127.30716117720758</c:v>
                </c:pt>
                <c:pt idx="786">
                  <c:v>78.464659160614659</c:v>
                </c:pt>
                <c:pt idx="787">
                  <c:v>109.75127094521183</c:v>
                </c:pt>
                <c:pt idx="788">
                  <c:v>112.16199893431626</c:v>
                </c:pt>
                <c:pt idx="789">
                  <c:v>79.143223587539268</c:v>
                </c:pt>
                <c:pt idx="790">
                  <c:v>96.874988105918163</c:v>
                </c:pt>
                <c:pt idx="791">
                  <c:v>115.49588850674812</c:v>
                </c:pt>
                <c:pt idx="792">
                  <c:v>86.935411981756289</c:v>
                </c:pt>
                <c:pt idx="793">
                  <c:v>124.4432210887478</c:v>
                </c:pt>
                <c:pt idx="794">
                  <c:v>116.17565491681819</c:v>
                </c:pt>
                <c:pt idx="795">
                  <c:v>170.86034317507114</c:v>
                </c:pt>
                <c:pt idx="796">
                  <c:v>107.50588355400258</c:v>
                </c:pt>
                <c:pt idx="797">
                  <c:v>121.89584584636654</c:v>
                </c:pt>
                <c:pt idx="798">
                  <c:v>107.43116085982415</c:v>
                </c:pt>
                <c:pt idx="799">
                  <c:v>98.500100440424902</c:v>
                </c:pt>
                <c:pt idx="800">
                  <c:v>105.76215283705878</c:v>
                </c:pt>
                <c:pt idx="801">
                  <c:v>105.06809175582268</c:v>
                </c:pt>
                <c:pt idx="802">
                  <c:v>93.978230230178994</c:v>
                </c:pt>
                <c:pt idx="803">
                  <c:v>124.03195099842706</c:v>
                </c:pt>
                <c:pt idx="804">
                  <c:v>181.90334942187667</c:v>
                </c:pt>
                <c:pt idx="805">
                  <c:v>92.856456353170458</c:v>
                </c:pt>
                <c:pt idx="806">
                  <c:v>65.764638573678241</c:v>
                </c:pt>
                <c:pt idx="807">
                  <c:v>91.850575503214316</c:v>
                </c:pt>
                <c:pt idx="808">
                  <c:v>202.09458243560005</c:v>
                </c:pt>
                <c:pt idx="809">
                  <c:v>68.892464458949064</c:v>
                </c:pt>
                <c:pt idx="810">
                  <c:v>108.12076036311673</c:v>
                </c:pt>
                <c:pt idx="811">
                  <c:v>129.63042097892364</c:v>
                </c:pt>
                <c:pt idx="812">
                  <c:v>132.67655436888435</c:v>
                </c:pt>
                <c:pt idx="813">
                  <c:v>153.16077512616386</c:v>
                </c:pt>
                <c:pt idx="814">
                  <c:v>99.008178593603247</c:v>
                </c:pt>
                <c:pt idx="815">
                  <c:v>105.99713344639115</c:v>
                </c:pt>
                <c:pt idx="816">
                  <c:v>86.309047143029758</c:v>
                </c:pt>
                <c:pt idx="817">
                  <c:v>78.122264104418093</c:v>
                </c:pt>
                <c:pt idx="818">
                  <c:v>113.91485911137129</c:v>
                </c:pt>
                <c:pt idx="819">
                  <c:v>206.71129365534676</c:v>
                </c:pt>
                <c:pt idx="820">
                  <c:v>106.35683425391686</c:v>
                </c:pt>
                <c:pt idx="821">
                  <c:v>78.55087215154478</c:v>
                </c:pt>
                <c:pt idx="822">
                  <c:v>68.008762989229425</c:v>
                </c:pt>
                <c:pt idx="823">
                  <c:v>78.628871460198255</c:v>
                </c:pt>
                <c:pt idx="824">
                  <c:v>86.143927926724871</c:v>
                </c:pt>
                <c:pt idx="825">
                  <c:v>163.14711911431024</c:v>
                </c:pt>
                <c:pt idx="826">
                  <c:v>132.96864469167065</c:v>
                </c:pt>
                <c:pt idx="827">
                  <c:v>135.60674366873343</c:v>
                </c:pt>
                <c:pt idx="828">
                  <c:v>122.36380893147174</c:v>
                </c:pt>
                <c:pt idx="829">
                  <c:v>135.01111179580195</c:v>
                </c:pt>
                <c:pt idx="830">
                  <c:v>110.34472242958685</c:v>
                </c:pt>
                <c:pt idx="831">
                  <c:v>78.228305147313648</c:v>
                </c:pt>
                <c:pt idx="832">
                  <c:v>169.68403213730409</c:v>
                </c:pt>
                <c:pt idx="833">
                  <c:v>77.874462445247687</c:v>
                </c:pt>
                <c:pt idx="834">
                  <c:v>103.55792174327182</c:v>
                </c:pt>
                <c:pt idx="835">
                  <c:v>78.84860591127304</c:v>
                </c:pt>
                <c:pt idx="836">
                  <c:v>78.494337989075831</c:v>
                </c:pt>
                <c:pt idx="837">
                  <c:v>63.659918741272101</c:v>
                </c:pt>
                <c:pt idx="838">
                  <c:v>64.441020738026083</c:v>
                </c:pt>
                <c:pt idx="839">
                  <c:v>95.953312540932188</c:v>
                </c:pt>
                <c:pt idx="840">
                  <c:v>100.13094390047526</c:v>
                </c:pt>
                <c:pt idx="841">
                  <c:v>73.201054247172664</c:v>
                </c:pt>
                <c:pt idx="842">
                  <c:v>186.44099862230004</c:v>
                </c:pt>
                <c:pt idx="843">
                  <c:v>73.831283760340696</c:v>
                </c:pt>
                <c:pt idx="844">
                  <c:v>131.71905838750925</c:v>
                </c:pt>
                <c:pt idx="845">
                  <c:v>103.12666758476021</c:v>
                </c:pt>
                <c:pt idx="846">
                  <c:v>108.56614241307933</c:v>
                </c:pt>
                <c:pt idx="847">
                  <c:v>99.012508315297822</c:v>
                </c:pt>
                <c:pt idx="848">
                  <c:v>133.29623133345825</c:v>
                </c:pt>
                <c:pt idx="849">
                  <c:v>80.487290816348477</c:v>
                </c:pt>
                <c:pt idx="850">
                  <c:v>117.140270936007</c:v>
                </c:pt>
                <c:pt idx="851">
                  <c:v>71.949351809554898</c:v>
                </c:pt>
                <c:pt idx="852">
                  <c:v>132.62774200492561</c:v>
                </c:pt>
                <c:pt idx="853">
                  <c:v>98.889070760646575</c:v>
                </c:pt>
                <c:pt idx="854">
                  <c:v>73.425049661131979</c:v>
                </c:pt>
                <c:pt idx="855">
                  <c:v>78.771768989706914</c:v>
                </c:pt>
                <c:pt idx="856">
                  <c:v>83.568841389807986</c:v>
                </c:pt>
                <c:pt idx="857">
                  <c:v>97.415516935540651</c:v>
                </c:pt>
                <c:pt idx="858">
                  <c:v>97.100241511493437</c:v>
                </c:pt>
                <c:pt idx="859">
                  <c:v>84.546722408185246</c:v>
                </c:pt>
                <c:pt idx="860">
                  <c:v>170.92638668359234</c:v>
                </c:pt>
                <c:pt idx="861">
                  <c:v>220.70019908215676</c:v>
                </c:pt>
                <c:pt idx="862">
                  <c:v>99.297341365957124</c:v>
                </c:pt>
                <c:pt idx="863">
                  <c:v>86.815036944047606</c:v>
                </c:pt>
                <c:pt idx="864">
                  <c:v>60.997529973572092</c:v>
                </c:pt>
                <c:pt idx="865">
                  <c:v>73.137566461057474</c:v>
                </c:pt>
                <c:pt idx="866">
                  <c:v>78.336675190895249</c:v>
                </c:pt>
                <c:pt idx="867">
                  <c:v>84.576887135356131</c:v>
                </c:pt>
                <c:pt idx="868">
                  <c:v>94.966843260385716</c:v>
                </c:pt>
                <c:pt idx="869">
                  <c:v>134.00700183272619</c:v>
                </c:pt>
                <c:pt idx="870">
                  <c:v>103.37475063634064</c:v>
                </c:pt>
                <c:pt idx="871">
                  <c:v>74.747330889467747</c:v>
                </c:pt>
                <c:pt idx="872">
                  <c:v>132.68168295728853</c:v>
                </c:pt>
                <c:pt idx="873">
                  <c:v>139.50326097838683</c:v>
                </c:pt>
                <c:pt idx="874">
                  <c:v>102.35792155284565</c:v>
                </c:pt>
                <c:pt idx="875">
                  <c:v>114.41436807966403</c:v>
                </c:pt>
                <c:pt idx="876">
                  <c:v>138.9634052637239</c:v>
                </c:pt>
                <c:pt idx="877">
                  <c:v>78.317570938948521</c:v>
                </c:pt>
                <c:pt idx="878">
                  <c:v>110.76912560608582</c:v>
                </c:pt>
                <c:pt idx="879">
                  <c:v>116.29310796291171</c:v>
                </c:pt>
                <c:pt idx="880">
                  <c:v>69.680912985512919</c:v>
                </c:pt>
                <c:pt idx="881">
                  <c:v>235.47885255705279</c:v>
                </c:pt>
                <c:pt idx="882">
                  <c:v>79.104288540365289</c:v>
                </c:pt>
                <c:pt idx="883">
                  <c:v>94.872313910587238</c:v>
                </c:pt>
                <c:pt idx="884">
                  <c:v>76.566097431726718</c:v>
                </c:pt>
                <c:pt idx="885">
                  <c:v>116.29885854094822</c:v>
                </c:pt>
                <c:pt idx="886">
                  <c:v>126.60227363394168</c:v>
                </c:pt>
                <c:pt idx="887">
                  <c:v>76.386938885225248</c:v>
                </c:pt>
                <c:pt idx="888">
                  <c:v>120.18909112793813</c:v>
                </c:pt>
                <c:pt idx="889">
                  <c:v>94.46913829422364</c:v>
                </c:pt>
                <c:pt idx="890">
                  <c:v>94.70031054608333</c:v>
                </c:pt>
                <c:pt idx="891">
                  <c:v>123.15389276054522</c:v>
                </c:pt>
                <c:pt idx="892">
                  <c:v>72.892423278891656</c:v>
                </c:pt>
                <c:pt idx="893">
                  <c:v>155.34744610297662</c:v>
                </c:pt>
                <c:pt idx="894">
                  <c:v>145.03680506926941</c:v>
                </c:pt>
                <c:pt idx="895">
                  <c:v>69.888898488729836</c:v>
                </c:pt>
                <c:pt idx="896">
                  <c:v>191.24548709036986</c:v>
                </c:pt>
                <c:pt idx="897">
                  <c:v>123.13475870496333</c:v>
                </c:pt>
                <c:pt idx="898">
                  <c:v>144.28019058543671</c:v>
                </c:pt>
                <c:pt idx="899">
                  <c:v>128.12973122457512</c:v>
                </c:pt>
                <c:pt idx="900">
                  <c:v>157.69539745186572</c:v>
                </c:pt>
                <c:pt idx="901">
                  <c:v>97.888667020760963</c:v>
                </c:pt>
                <c:pt idx="902">
                  <c:v>77.824034704116684</c:v>
                </c:pt>
                <c:pt idx="903">
                  <c:v>137.49369010195196</c:v>
                </c:pt>
                <c:pt idx="904">
                  <c:v>84.834513954411406</c:v>
                </c:pt>
                <c:pt idx="905">
                  <c:v>63.160353236965641</c:v>
                </c:pt>
                <c:pt idx="906">
                  <c:v>75.20793725399669</c:v>
                </c:pt>
                <c:pt idx="907">
                  <c:v>96.689875546064442</c:v>
                </c:pt>
                <c:pt idx="908">
                  <c:v>96.329415697288383</c:v>
                </c:pt>
                <c:pt idx="909">
                  <c:v>119.68126281056686</c:v>
                </c:pt>
                <c:pt idx="910">
                  <c:v>92.001334451436279</c:v>
                </c:pt>
                <c:pt idx="911">
                  <c:v>98.588354167673856</c:v>
                </c:pt>
                <c:pt idx="912">
                  <c:v>75.636612418784779</c:v>
                </c:pt>
                <c:pt idx="913">
                  <c:v>112.3255244399797</c:v>
                </c:pt>
                <c:pt idx="914">
                  <c:v>147.86742013091617</c:v>
                </c:pt>
                <c:pt idx="915">
                  <c:v>163.86446496183783</c:v>
                </c:pt>
                <c:pt idx="916">
                  <c:v>87.395219698225233</c:v>
                </c:pt>
                <c:pt idx="917">
                  <c:v>99.401952776993937</c:v>
                </c:pt>
                <c:pt idx="918">
                  <c:v>151.27163570437656</c:v>
                </c:pt>
                <c:pt idx="919">
                  <c:v>70.270747477031605</c:v>
                </c:pt>
                <c:pt idx="920">
                  <c:v>80.574164763065497</c:v>
                </c:pt>
                <c:pt idx="921">
                  <c:v>116.24854978211515</c:v>
                </c:pt>
                <c:pt idx="922">
                  <c:v>78.200164531926106</c:v>
                </c:pt>
                <c:pt idx="923">
                  <c:v>95.80678149905016</c:v>
                </c:pt>
                <c:pt idx="924">
                  <c:v>103.20562425432759</c:v>
                </c:pt>
                <c:pt idx="925">
                  <c:v>102.23299145970478</c:v>
                </c:pt>
                <c:pt idx="926">
                  <c:v>97.162644552376506</c:v>
                </c:pt>
                <c:pt idx="927">
                  <c:v>108.49397933696814</c:v>
                </c:pt>
                <c:pt idx="928">
                  <c:v>135.14041836663537</c:v>
                </c:pt>
                <c:pt idx="929">
                  <c:v>71.555578224301712</c:v>
                </c:pt>
                <c:pt idx="930">
                  <c:v>136.60359222754485</c:v>
                </c:pt>
                <c:pt idx="931">
                  <c:v>86.492795349102764</c:v>
                </c:pt>
                <c:pt idx="932">
                  <c:v>66.749097135316262</c:v>
                </c:pt>
                <c:pt idx="933">
                  <c:v>129.97495910321828</c:v>
                </c:pt>
                <c:pt idx="934">
                  <c:v>134.68938346192388</c:v>
                </c:pt>
                <c:pt idx="935">
                  <c:v>62.229153984373696</c:v>
                </c:pt>
                <c:pt idx="936">
                  <c:v>177.47563382086355</c:v>
                </c:pt>
                <c:pt idx="937">
                  <c:v>115.50735302990888</c:v>
                </c:pt>
                <c:pt idx="938">
                  <c:v>117.22063172122635</c:v>
                </c:pt>
                <c:pt idx="939">
                  <c:v>79.114263151263359</c:v>
                </c:pt>
                <c:pt idx="940">
                  <c:v>124.31676388185596</c:v>
                </c:pt>
                <c:pt idx="941">
                  <c:v>115.37542010742315</c:v>
                </c:pt>
                <c:pt idx="942">
                  <c:v>76.965876553400278</c:v>
                </c:pt>
                <c:pt idx="943">
                  <c:v>110.55961011416292</c:v>
                </c:pt>
                <c:pt idx="944">
                  <c:v>82.991632736143274</c:v>
                </c:pt>
                <c:pt idx="945">
                  <c:v>71.260182543184669</c:v>
                </c:pt>
                <c:pt idx="946">
                  <c:v>83.260632586166679</c:v>
                </c:pt>
                <c:pt idx="947">
                  <c:v>161.56389638586526</c:v>
                </c:pt>
                <c:pt idx="948">
                  <c:v>80.533865935258888</c:v>
                </c:pt>
                <c:pt idx="949">
                  <c:v>167.1687797351388</c:v>
                </c:pt>
                <c:pt idx="950">
                  <c:v>120.76876283755421</c:v>
                </c:pt>
                <c:pt idx="951">
                  <c:v>151.39553206834151</c:v>
                </c:pt>
                <c:pt idx="952">
                  <c:v>118.5232678763841</c:v>
                </c:pt>
                <c:pt idx="953">
                  <c:v>127.38517645758851</c:v>
                </c:pt>
                <c:pt idx="954">
                  <c:v>163.89731979356992</c:v>
                </c:pt>
                <c:pt idx="955">
                  <c:v>87.308889299499853</c:v>
                </c:pt>
                <c:pt idx="956">
                  <c:v>107.43838605029745</c:v>
                </c:pt>
                <c:pt idx="957">
                  <c:v>121.30802075950679</c:v>
                </c:pt>
                <c:pt idx="958">
                  <c:v>196.80319851229231</c:v>
                </c:pt>
                <c:pt idx="959">
                  <c:v>78.048669101070843</c:v>
                </c:pt>
                <c:pt idx="960">
                  <c:v>78.494414339646042</c:v>
                </c:pt>
                <c:pt idx="961">
                  <c:v>84.609848304290338</c:v>
                </c:pt>
                <c:pt idx="962">
                  <c:v>109.39469658371969</c:v>
                </c:pt>
                <c:pt idx="963">
                  <c:v>128.30068004879166</c:v>
                </c:pt>
                <c:pt idx="964">
                  <c:v>130.71907145944601</c:v>
                </c:pt>
                <c:pt idx="965">
                  <c:v>131.18815813697739</c:v>
                </c:pt>
                <c:pt idx="966">
                  <c:v>125.47551922605447</c:v>
                </c:pt>
                <c:pt idx="967">
                  <c:v>130.7902116261055</c:v>
                </c:pt>
                <c:pt idx="968">
                  <c:v>77.599595013538391</c:v>
                </c:pt>
                <c:pt idx="969">
                  <c:v>179.92821329754935</c:v>
                </c:pt>
                <c:pt idx="970">
                  <c:v>111.24280855348171</c:v>
                </c:pt>
                <c:pt idx="971">
                  <c:v>100.23850765770705</c:v>
                </c:pt>
                <c:pt idx="972">
                  <c:v>75.592750266385295</c:v>
                </c:pt>
                <c:pt idx="973">
                  <c:v>153.13892353932752</c:v>
                </c:pt>
                <c:pt idx="974">
                  <c:v>64.755801019252047</c:v>
                </c:pt>
                <c:pt idx="975">
                  <c:v>92.009308445761391</c:v>
                </c:pt>
                <c:pt idx="976">
                  <c:v>112.81561827640049</c:v>
                </c:pt>
                <c:pt idx="977">
                  <c:v>71.112783857840682</c:v>
                </c:pt>
                <c:pt idx="978">
                  <c:v>73.467616392561339</c:v>
                </c:pt>
                <c:pt idx="979">
                  <c:v>69.358239222378032</c:v>
                </c:pt>
                <c:pt idx="980">
                  <c:v>93.390282710693199</c:v>
                </c:pt>
                <c:pt idx="981">
                  <c:v>80.282319415873914</c:v>
                </c:pt>
                <c:pt idx="982">
                  <c:v>107.45214413927145</c:v>
                </c:pt>
                <c:pt idx="983">
                  <c:v>267.75440430542506</c:v>
                </c:pt>
                <c:pt idx="984">
                  <c:v>104.80660047799184</c:v>
                </c:pt>
                <c:pt idx="985">
                  <c:v>112.30597532096624</c:v>
                </c:pt>
                <c:pt idx="986">
                  <c:v>78.440001468618902</c:v>
                </c:pt>
                <c:pt idx="987">
                  <c:v>71.088679280328066</c:v>
                </c:pt>
                <c:pt idx="988">
                  <c:v>110.54638133254302</c:v>
                </c:pt>
                <c:pt idx="989">
                  <c:v>121.09274229172419</c:v>
                </c:pt>
                <c:pt idx="990">
                  <c:v>76.618444983900815</c:v>
                </c:pt>
                <c:pt idx="991">
                  <c:v>125.86833336464422</c:v>
                </c:pt>
                <c:pt idx="992">
                  <c:v>78.138057915771</c:v>
                </c:pt>
                <c:pt idx="993">
                  <c:v>166.04704720389662</c:v>
                </c:pt>
                <c:pt idx="994">
                  <c:v>138.58308751415478</c:v>
                </c:pt>
                <c:pt idx="995">
                  <c:v>71.044271633424358</c:v>
                </c:pt>
                <c:pt idx="996">
                  <c:v>99.532708228702646</c:v>
                </c:pt>
                <c:pt idx="997">
                  <c:v>152.10042665359916</c:v>
                </c:pt>
                <c:pt idx="998">
                  <c:v>94.29102395918575</c:v>
                </c:pt>
                <c:pt idx="999">
                  <c:v>76.963250204587624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A-40E5-BAE6-30FCD5F12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18496"/>
        <c:axId val="971664880"/>
      </c:lineChart>
      <c:catAx>
        <c:axId val="969018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1664880"/>
        <c:crosses val="autoZero"/>
        <c:auto val="1"/>
        <c:lblAlgn val="ctr"/>
        <c:lblOffset val="100"/>
        <c:noMultiLvlLbl val="0"/>
      </c:catAx>
      <c:valAx>
        <c:axId val="97166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01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Répartition</a:t>
            </a:r>
            <a:r>
              <a:rPr lang="fr-FR" sz="1600" b="1" baseline="0"/>
              <a:t> des Valeurs du Portefeille  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838-4F21-B0C3-CF46DA2293E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38-4F21-B0C3-CF46DA2293E4}"/>
              </c:ext>
            </c:extLst>
          </c:dPt>
          <c:dLbls>
            <c:dLbl>
              <c:idx val="0"/>
              <c:layout>
                <c:manualLayout>
                  <c:x val="-0.112928915135608"/>
                  <c:y val="-0.2019513706620005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38-4F21-B0C3-CF46DA2293E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E838-4F21-B0C3-CF46DA2293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OBPI!$C$5:$C$6</c:f>
              <c:numCache>
                <c:formatCode>0.00%</c:formatCode>
                <c:ptCount val="2"/>
                <c:pt idx="0">
                  <c:v>0.88200000000000001</c:v>
                </c:pt>
                <c:pt idx="1">
                  <c:v>0.11799999999999999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8-4F21-B0C3-CF46DA2293E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de la Valeur du Portefeuille</a:t>
            </a:r>
            <a:r>
              <a:rPr lang="fr-FR" baseline="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OBPI!$F$2:$F$1001</c:f>
              <c:numCache>
                <c:formatCode>0.00</c:formatCode>
                <c:ptCount val="1000"/>
                <c:pt idx="0">
                  <c:v>87.534514806612236</c:v>
                </c:pt>
                <c:pt idx="1">
                  <c:v>83.13790262482577</c:v>
                </c:pt>
                <c:pt idx="2">
                  <c:v>100.39132736636445</c:v>
                </c:pt>
                <c:pt idx="3">
                  <c:v>79.999554359785137</c:v>
                </c:pt>
                <c:pt idx="4">
                  <c:v>106.77099633938892</c:v>
                </c:pt>
                <c:pt idx="5">
                  <c:v>80.02163252016814</c:v>
                </c:pt>
                <c:pt idx="6">
                  <c:v>123.60048441723323</c:v>
                </c:pt>
                <c:pt idx="7">
                  <c:v>82.259142611777477</c:v>
                </c:pt>
                <c:pt idx="8">
                  <c:v>98.842029130425885</c:v>
                </c:pt>
                <c:pt idx="9">
                  <c:v>95.493114838679745</c:v>
                </c:pt>
                <c:pt idx="10">
                  <c:v>102.56781181304075</c:v>
                </c:pt>
                <c:pt idx="11">
                  <c:v>94.595943849656038</c:v>
                </c:pt>
                <c:pt idx="12">
                  <c:v>132.24588699067465</c:v>
                </c:pt>
                <c:pt idx="13">
                  <c:v>79.724136548455022</c:v>
                </c:pt>
                <c:pt idx="14">
                  <c:v>82.12791496115652</c:v>
                </c:pt>
                <c:pt idx="15">
                  <c:v>156.39076223327604</c:v>
                </c:pt>
                <c:pt idx="16">
                  <c:v>111.8219698953471</c:v>
                </c:pt>
                <c:pt idx="17">
                  <c:v>100.02787277664922</c:v>
                </c:pt>
                <c:pt idx="18">
                  <c:v>81.538541033955468</c:v>
                </c:pt>
                <c:pt idx="19">
                  <c:v>112.20699187139729</c:v>
                </c:pt>
                <c:pt idx="20">
                  <c:v>87.275497057440887</c:v>
                </c:pt>
                <c:pt idx="21">
                  <c:v>79.089781008837832</c:v>
                </c:pt>
                <c:pt idx="22">
                  <c:v>119.91776881882892</c:v>
                </c:pt>
                <c:pt idx="23">
                  <c:v>79.773129130099562</c:v>
                </c:pt>
                <c:pt idx="24">
                  <c:v>124.83769932642787</c:v>
                </c:pt>
                <c:pt idx="25">
                  <c:v>83.317529674070059</c:v>
                </c:pt>
                <c:pt idx="26">
                  <c:v>107.3225057607746</c:v>
                </c:pt>
                <c:pt idx="27">
                  <c:v>144.2624538732845</c:v>
                </c:pt>
                <c:pt idx="28">
                  <c:v>80.131363106687601</c:v>
                </c:pt>
                <c:pt idx="29">
                  <c:v>90.41398382115635</c:v>
                </c:pt>
                <c:pt idx="30">
                  <c:v>108.42132227000427</c:v>
                </c:pt>
                <c:pt idx="31">
                  <c:v>87.072211728950236</c:v>
                </c:pt>
                <c:pt idx="32">
                  <c:v>84.267892525634252</c:v>
                </c:pt>
                <c:pt idx="33">
                  <c:v>79.757932250828091</c:v>
                </c:pt>
                <c:pt idx="34">
                  <c:v>131.78125554346184</c:v>
                </c:pt>
                <c:pt idx="35">
                  <c:v>80.586264395267889</c:v>
                </c:pt>
                <c:pt idx="36">
                  <c:v>81.736753475628632</c:v>
                </c:pt>
                <c:pt idx="37">
                  <c:v>107.68114125889316</c:v>
                </c:pt>
                <c:pt idx="38">
                  <c:v>103.08403860621857</c:v>
                </c:pt>
                <c:pt idx="39">
                  <c:v>86.699711412582985</c:v>
                </c:pt>
                <c:pt idx="40">
                  <c:v>115.80438080483928</c:v>
                </c:pt>
                <c:pt idx="41">
                  <c:v>94.283247822004142</c:v>
                </c:pt>
                <c:pt idx="42">
                  <c:v>120.50882021612762</c:v>
                </c:pt>
                <c:pt idx="43">
                  <c:v>88.876438583587301</c:v>
                </c:pt>
                <c:pt idx="44">
                  <c:v>87.720557093912475</c:v>
                </c:pt>
                <c:pt idx="45">
                  <c:v>107.68326638157329</c:v>
                </c:pt>
                <c:pt idx="46">
                  <c:v>134.98603924224028</c:v>
                </c:pt>
                <c:pt idx="47">
                  <c:v>103.17793661202921</c:v>
                </c:pt>
                <c:pt idx="48">
                  <c:v>102.62331083331703</c:v>
                </c:pt>
                <c:pt idx="49">
                  <c:v>105.23784664642267</c:v>
                </c:pt>
                <c:pt idx="50">
                  <c:v>139.98464862038929</c:v>
                </c:pt>
                <c:pt idx="51">
                  <c:v>79.671176342731414</c:v>
                </c:pt>
                <c:pt idx="52">
                  <c:v>90.950291119210419</c:v>
                </c:pt>
                <c:pt idx="53">
                  <c:v>104.51926546867112</c:v>
                </c:pt>
                <c:pt idx="54">
                  <c:v>118.85061961833539</c:v>
                </c:pt>
                <c:pt idx="55">
                  <c:v>111.79367783339683</c:v>
                </c:pt>
                <c:pt idx="56">
                  <c:v>90.940879699836515</c:v>
                </c:pt>
                <c:pt idx="57">
                  <c:v>135.48113044716123</c:v>
                </c:pt>
                <c:pt idx="58">
                  <c:v>80.809079428776741</c:v>
                </c:pt>
                <c:pt idx="59">
                  <c:v>160.8463478662554</c:v>
                </c:pt>
                <c:pt idx="60">
                  <c:v>87.784430288317608</c:v>
                </c:pt>
                <c:pt idx="61">
                  <c:v>79.70706479010164</c:v>
                </c:pt>
                <c:pt idx="62">
                  <c:v>84.916531304623277</c:v>
                </c:pt>
                <c:pt idx="63">
                  <c:v>161.21139037899349</c:v>
                </c:pt>
                <c:pt idx="64">
                  <c:v>95.964074870975395</c:v>
                </c:pt>
                <c:pt idx="65">
                  <c:v>170.06983110179868</c:v>
                </c:pt>
                <c:pt idx="66">
                  <c:v>79.303349371203836</c:v>
                </c:pt>
                <c:pt idx="67">
                  <c:v>104.36632301786132</c:v>
                </c:pt>
                <c:pt idx="68">
                  <c:v>92.361498857743086</c:v>
                </c:pt>
                <c:pt idx="69">
                  <c:v>151.54974665001669</c:v>
                </c:pt>
                <c:pt idx="70">
                  <c:v>80.101830563843677</c:v>
                </c:pt>
                <c:pt idx="71">
                  <c:v>135.33443550957486</c:v>
                </c:pt>
                <c:pt idx="72">
                  <c:v>104.44875779873746</c:v>
                </c:pt>
                <c:pt idx="73">
                  <c:v>80.359226969278026</c:v>
                </c:pt>
                <c:pt idx="74">
                  <c:v>80.730310129172295</c:v>
                </c:pt>
                <c:pt idx="75">
                  <c:v>147.63533533895529</c:v>
                </c:pt>
                <c:pt idx="76">
                  <c:v>123.67270060678305</c:v>
                </c:pt>
                <c:pt idx="77">
                  <c:v>82.358350210655942</c:v>
                </c:pt>
                <c:pt idx="78">
                  <c:v>122.5189083633787</c:v>
                </c:pt>
                <c:pt idx="79">
                  <c:v>157.98730268119661</c:v>
                </c:pt>
                <c:pt idx="80">
                  <c:v>158.01905029411094</c:v>
                </c:pt>
                <c:pt idx="81">
                  <c:v>93.990878770437789</c:v>
                </c:pt>
                <c:pt idx="82">
                  <c:v>81.214191237551788</c:v>
                </c:pt>
                <c:pt idx="83">
                  <c:v>87.63993495490088</c:v>
                </c:pt>
                <c:pt idx="84">
                  <c:v>79.528888841392202</c:v>
                </c:pt>
                <c:pt idx="85">
                  <c:v>80.581849686768564</c:v>
                </c:pt>
                <c:pt idx="86">
                  <c:v>81.803306307753104</c:v>
                </c:pt>
                <c:pt idx="87">
                  <c:v>105.79219321553087</c:v>
                </c:pt>
                <c:pt idx="88">
                  <c:v>83.824478852965015</c:v>
                </c:pt>
                <c:pt idx="89">
                  <c:v>83.587943532218688</c:v>
                </c:pt>
                <c:pt idx="90">
                  <c:v>80.295777403148421</c:v>
                </c:pt>
                <c:pt idx="91">
                  <c:v>123.46670438071607</c:v>
                </c:pt>
                <c:pt idx="92">
                  <c:v>101.9092633927131</c:v>
                </c:pt>
                <c:pt idx="93">
                  <c:v>92.456504703046065</c:v>
                </c:pt>
                <c:pt idx="94">
                  <c:v>117.07826148266419</c:v>
                </c:pt>
                <c:pt idx="95">
                  <c:v>80.55799199929001</c:v>
                </c:pt>
                <c:pt idx="96">
                  <c:v>139.5334875649645</c:v>
                </c:pt>
                <c:pt idx="97">
                  <c:v>80.72472762150764</c:v>
                </c:pt>
                <c:pt idx="98">
                  <c:v>118.63948953666269</c:v>
                </c:pt>
                <c:pt idx="99">
                  <c:v>79.414204278983718</c:v>
                </c:pt>
                <c:pt idx="100">
                  <c:v>128.89645865779082</c:v>
                </c:pt>
                <c:pt idx="101">
                  <c:v>114.55721339099296</c:v>
                </c:pt>
                <c:pt idx="102">
                  <c:v>153.16906352391041</c:v>
                </c:pt>
                <c:pt idx="103">
                  <c:v>106.03321790551465</c:v>
                </c:pt>
                <c:pt idx="104">
                  <c:v>83.988837798868204</c:v>
                </c:pt>
                <c:pt idx="105">
                  <c:v>186.40767794522728</c:v>
                </c:pt>
                <c:pt idx="106">
                  <c:v>136.85916076196938</c:v>
                </c:pt>
                <c:pt idx="107">
                  <c:v>122.44105785855425</c:v>
                </c:pt>
                <c:pt idx="108">
                  <c:v>142.37682926510536</c:v>
                </c:pt>
                <c:pt idx="109">
                  <c:v>80.28360961521021</c:v>
                </c:pt>
                <c:pt idx="110">
                  <c:v>80.534010022958228</c:v>
                </c:pt>
                <c:pt idx="111">
                  <c:v>79.559511372080991</c:v>
                </c:pt>
                <c:pt idx="112">
                  <c:v>79.923170213440542</c:v>
                </c:pt>
                <c:pt idx="113">
                  <c:v>128.78386983156457</c:v>
                </c:pt>
                <c:pt idx="114">
                  <c:v>83.068650966481712</c:v>
                </c:pt>
                <c:pt idx="115">
                  <c:v>80.81826522043373</c:v>
                </c:pt>
                <c:pt idx="116">
                  <c:v>92.039335710638184</c:v>
                </c:pt>
                <c:pt idx="117">
                  <c:v>79.246821141639032</c:v>
                </c:pt>
                <c:pt idx="118">
                  <c:v>130.00419329383843</c:v>
                </c:pt>
                <c:pt idx="119">
                  <c:v>86.718965678543242</c:v>
                </c:pt>
                <c:pt idx="120">
                  <c:v>79.823026526920984</c:v>
                </c:pt>
                <c:pt idx="121">
                  <c:v>86.330925067200354</c:v>
                </c:pt>
                <c:pt idx="122">
                  <c:v>80.267524608946403</c:v>
                </c:pt>
                <c:pt idx="123">
                  <c:v>130.16981233683489</c:v>
                </c:pt>
                <c:pt idx="124">
                  <c:v>99.102068599715338</c:v>
                </c:pt>
                <c:pt idx="125">
                  <c:v>79.453089300388768</c:v>
                </c:pt>
                <c:pt idx="126">
                  <c:v>114.80516039683121</c:v>
                </c:pt>
                <c:pt idx="127">
                  <c:v>136.31611281409468</c:v>
                </c:pt>
                <c:pt idx="128">
                  <c:v>106.0425590809258</c:v>
                </c:pt>
                <c:pt idx="129">
                  <c:v>102.23168285750313</c:v>
                </c:pt>
                <c:pt idx="130">
                  <c:v>106.29071237033156</c:v>
                </c:pt>
                <c:pt idx="131">
                  <c:v>97.158103636382734</c:v>
                </c:pt>
                <c:pt idx="132">
                  <c:v>95.367681528065773</c:v>
                </c:pt>
                <c:pt idx="133">
                  <c:v>79.801923697259966</c:v>
                </c:pt>
                <c:pt idx="134">
                  <c:v>116.44604631301785</c:v>
                </c:pt>
                <c:pt idx="135">
                  <c:v>90.593941163241112</c:v>
                </c:pt>
                <c:pt idx="136">
                  <c:v>97.173346045476151</c:v>
                </c:pt>
                <c:pt idx="137">
                  <c:v>100.26686702954316</c:v>
                </c:pt>
                <c:pt idx="138">
                  <c:v>106.0513116285849</c:v>
                </c:pt>
                <c:pt idx="139">
                  <c:v>89.428309341885594</c:v>
                </c:pt>
                <c:pt idx="140">
                  <c:v>126.53946665607633</c:v>
                </c:pt>
                <c:pt idx="141">
                  <c:v>88.467285417128878</c:v>
                </c:pt>
                <c:pt idx="142">
                  <c:v>108.47420169302744</c:v>
                </c:pt>
                <c:pt idx="143">
                  <c:v>144.81117463689631</c:v>
                </c:pt>
                <c:pt idx="144">
                  <c:v>132.0494166593403</c:v>
                </c:pt>
                <c:pt idx="145">
                  <c:v>157.08901858571579</c:v>
                </c:pt>
                <c:pt idx="146">
                  <c:v>79.14291506266747</c:v>
                </c:pt>
                <c:pt idx="147">
                  <c:v>93.749693076841027</c:v>
                </c:pt>
                <c:pt idx="148">
                  <c:v>126.47070189323868</c:v>
                </c:pt>
                <c:pt idx="149">
                  <c:v>103.93485466277463</c:v>
                </c:pt>
                <c:pt idx="150">
                  <c:v>79.440360877528704</c:v>
                </c:pt>
                <c:pt idx="151">
                  <c:v>80.149660748411705</c:v>
                </c:pt>
                <c:pt idx="152">
                  <c:v>79.862053995891571</c:v>
                </c:pt>
                <c:pt idx="153">
                  <c:v>88.140026657137668</c:v>
                </c:pt>
                <c:pt idx="154">
                  <c:v>81.95336748381402</c:v>
                </c:pt>
                <c:pt idx="155">
                  <c:v>89.772646535818225</c:v>
                </c:pt>
                <c:pt idx="156">
                  <c:v>96.066980462172054</c:v>
                </c:pt>
                <c:pt idx="157">
                  <c:v>160.89421679376716</c:v>
                </c:pt>
                <c:pt idx="158">
                  <c:v>109.16784724006136</c:v>
                </c:pt>
                <c:pt idx="159">
                  <c:v>80.081212303433318</c:v>
                </c:pt>
                <c:pt idx="160">
                  <c:v>89.361561139136512</c:v>
                </c:pt>
                <c:pt idx="161">
                  <c:v>99.718765301355063</c:v>
                </c:pt>
                <c:pt idx="162">
                  <c:v>96.594851344029678</c:v>
                </c:pt>
                <c:pt idx="163">
                  <c:v>105.60284440900509</c:v>
                </c:pt>
                <c:pt idx="164">
                  <c:v>96.753027783785782</c:v>
                </c:pt>
                <c:pt idx="165">
                  <c:v>80.162376791520458</c:v>
                </c:pt>
                <c:pt idx="166">
                  <c:v>148.94136337987254</c:v>
                </c:pt>
                <c:pt idx="167">
                  <c:v>80.026004974604589</c:v>
                </c:pt>
                <c:pt idx="168">
                  <c:v>105.8983418771586</c:v>
                </c:pt>
                <c:pt idx="169">
                  <c:v>107.41909846122778</c:v>
                </c:pt>
                <c:pt idx="170">
                  <c:v>137.60381864410274</c:v>
                </c:pt>
                <c:pt idx="171">
                  <c:v>100.51175280219412</c:v>
                </c:pt>
                <c:pt idx="172">
                  <c:v>80.171902475170569</c:v>
                </c:pt>
                <c:pt idx="173">
                  <c:v>79.600425468735068</c:v>
                </c:pt>
                <c:pt idx="174">
                  <c:v>79.816587323182191</c:v>
                </c:pt>
                <c:pt idx="175">
                  <c:v>103.42215198159126</c:v>
                </c:pt>
                <c:pt idx="176">
                  <c:v>149.6953815039268</c:v>
                </c:pt>
                <c:pt idx="177">
                  <c:v>118.00568042884984</c:v>
                </c:pt>
                <c:pt idx="178">
                  <c:v>127.63211239412362</c:v>
                </c:pt>
                <c:pt idx="179">
                  <c:v>78.880535698717168</c:v>
                </c:pt>
                <c:pt idx="180">
                  <c:v>106.55234378102203</c:v>
                </c:pt>
                <c:pt idx="181">
                  <c:v>181.25970132315544</c:v>
                </c:pt>
                <c:pt idx="182">
                  <c:v>103.96616329231136</c:v>
                </c:pt>
                <c:pt idx="183">
                  <c:v>80.127551749460579</c:v>
                </c:pt>
                <c:pt idx="184">
                  <c:v>135.78292579201923</c:v>
                </c:pt>
                <c:pt idx="185">
                  <c:v>80.404397104268952</c:v>
                </c:pt>
                <c:pt idx="186">
                  <c:v>129.34963185788374</c:v>
                </c:pt>
                <c:pt idx="187">
                  <c:v>98.497895541848081</c:v>
                </c:pt>
                <c:pt idx="188">
                  <c:v>102.97640654499322</c:v>
                </c:pt>
                <c:pt idx="189">
                  <c:v>95.503206463875557</c:v>
                </c:pt>
                <c:pt idx="190">
                  <c:v>103.28019449205863</c:v>
                </c:pt>
                <c:pt idx="191">
                  <c:v>83.975067285854294</c:v>
                </c:pt>
                <c:pt idx="192">
                  <c:v>105.53128143063698</c:v>
                </c:pt>
                <c:pt idx="193">
                  <c:v>79.141761017781704</c:v>
                </c:pt>
                <c:pt idx="194">
                  <c:v>80.944218534017708</c:v>
                </c:pt>
                <c:pt idx="195">
                  <c:v>107.61979497880078</c:v>
                </c:pt>
                <c:pt idx="196">
                  <c:v>80.363834033697159</c:v>
                </c:pt>
                <c:pt idx="197">
                  <c:v>79.478509123743692</c:v>
                </c:pt>
                <c:pt idx="198">
                  <c:v>150.62256853698702</c:v>
                </c:pt>
                <c:pt idx="199">
                  <c:v>96.505643288073585</c:v>
                </c:pt>
                <c:pt idx="200">
                  <c:v>81.293541441952968</c:v>
                </c:pt>
                <c:pt idx="201">
                  <c:v>79.877886757769971</c:v>
                </c:pt>
                <c:pt idx="202">
                  <c:v>80.350168263091987</c:v>
                </c:pt>
                <c:pt idx="203">
                  <c:v>120.88980240595424</c:v>
                </c:pt>
                <c:pt idx="204">
                  <c:v>79.760037040415156</c:v>
                </c:pt>
                <c:pt idx="205">
                  <c:v>158.89427457480275</c:v>
                </c:pt>
                <c:pt idx="206">
                  <c:v>136.65329573026222</c:v>
                </c:pt>
                <c:pt idx="207">
                  <c:v>80.881151304371457</c:v>
                </c:pt>
                <c:pt idx="208">
                  <c:v>182.97245435586643</c:v>
                </c:pt>
                <c:pt idx="209">
                  <c:v>165.12622032695458</c:v>
                </c:pt>
                <c:pt idx="210">
                  <c:v>88.632035292152054</c:v>
                </c:pt>
                <c:pt idx="211">
                  <c:v>83.518147743656343</c:v>
                </c:pt>
                <c:pt idx="212">
                  <c:v>109.64069358464384</c:v>
                </c:pt>
                <c:pt idx="213">
                  <c:v>79.780672041061251</c:v>
                </c:pt>
                <c:pt idx="214">
                  <c:v>79.218842124789603</c:v>
                </c:pt>
                <c:pt idx="215">
                  <c:v>92.339412005589807</c:v>
                </c:pt>
                <c:pt idx="216">
                  <c:v>156.92568518931824</c:v>
                </c:pt>
                <c:pt idx="217">
                  <c:v>88.211022115998702</c:v>
                </c:pt>
                <c:pt idx="218">
                  <c:v>80.237943892476665</c:v>
                </c:pt>
                <c:pt idx="219">
                  <c:v>84.93251648342698</c:v>
                </c:pt>
                <c:pt idx="220">
                  <c:v>119.67221987243668</c:v>
                </c:pt>
                <c:pt idx="221">
                  <c:v>109.96276095219369</c:v>
                </c:pt>
                <c:pt idx="222">
                  <c:v>111.4286668251731</c:v>
                </c:pt>
                <c:pt idx="223">
                  <c:v>83.526576591215317</c:v>
                </c:pt>
                <c:pt idx="224">
                  <c:v>80.197028310401066</c:v>
                </c:pt>
                <c:pt idx="225">
                  <c:v>102.21164719891912</c:v>
                </c:pt>
                <c:pt idx="226">
                  <c:v>86.262891863485706</c:v>
                </c:pt>
                <c:pt idx="227">
                  <c:v>79.891375197871</c:v>
                </c:pt>
                <c:pt idx="228">
                  <c:v>79.402641243914843</c:v>
                </c:pt>
                <c:pt idx="229">
                  <c:v>132.36759128329078</c:v>
                </c:pt>
                <c:pt idx="230">
                  <c:v>80.260356753434934</c:v>
                </c:pt>
                <c:pt idx="231">
                  <c:v>131.19256447397936</c:v>
                </c:pt>
                <c:pt idx="232">
                  <c:v>123.93367970415102</c:v>
                </c:pt>
                <c:pt idx="233">
                  <c:v>80.436072844786224</c:v>
                </c:pt>
                <c:pt idx="234">
                  <c:v>147.86849225393627</c:v>
                </c:pt>
                <c:pt idx="235">
                  <c:v>118.56918032897036</c:v>
                </c:pt>
                <c:pt idx="236">
                  <c:v>88.940403132132445</c:v>
                </c:pt>
                <c:pt idx="237">
                  <c:v>79.80187749103078</c:v>
                </c:pt>
                <c:pt idx="238">
                  <c:v>93.500477828569501</c:v>
                </c:pt>
                <c:pt idx="239">
                  <c:v>102.76298140094404</c:v>
                </c:pt>
                <c:pt idx="240">
                  <c:v>133.01830348926103</c:v>
                </c:pt>
                <c:pt idx="241">
                  <c:v>141.89076780215487</c:v>
                </c:pt>
                <c:pt idx="242">
                  <c:v>110.78114474516141</c:v>
                </c:pt>
                <c:pt idx="243">
                  <c:v>80.098595848949302</c:v>
                </c:pt>
                <c:pt idx="244">
                  <c:v>115.61992996621122</c:v>
                </c:pt>
                <c:pt idx="245">
                  <c:v>158.15113070746921</c:v>
                </c:pt>
                <c:pt idx="246">
                  <c:v>105.17794162208922</c:v>
                </c:pt>
                <c:pt idx="247">
                  <c:v>127.81606223709976</c:v>
                </c:pt>
                <c:pt idx="248">
                  <c:v>79.918607304377986</c:v>
                </c:pt>
                <c:pt idx="249">
                  <c:v>80.113281204620279</c:v>
                </c:pt>
                <c:pt idx="250">
                  <c:v>87.985306738480986</c:v>
                </c:pt>
                <c:pt idx="251">
                  <c:v>80.051177536349826</c:v>
                </c:pt>
                <c:pt idx="252">
                  <c:v>149.60710747233074</c:v>
                </c:pt>
                <c:pt idx="253">
                  <c:v>80.20765153641085</c:v>
                </c:pt>
                <c:pt idx="254">
                  <c:v>107.62688420845765</c:v>
                </c:pt>
                <c:pt idx="255">
                  <c:v>156.67252471535016</c:v>
                </c:pt>
                <c:pt idx="256">
                  <c:v>134.42660542309213</c:v>
                </c:pt>
                <c:pt idx="257">
                  <c:v>101.55462664687585</c:v>
                </c:pt>
                <c:pt idx="258">
                  <c:v>125.03566433430072</c:v>
                </c:pt>
                <c:pt idx="259">
                  <c:v>79.951549300048782</c:v>
                </c:pt>
                <c:pt idx="260">
                  <c:v>126.87433195323895</c:v>
                </c:pt>
                <c:pt idx="261">
                  <c:v>100.34077142025387</c:v>
                </c:pt>
                <c:pt idx="262">
                  <c:v>90.776188621020268</c:v>
                </c:pt>
                <c:pt idx="263">
                  <c:v>80.099036304353817</c:v>
                </c:pt>
                <c:pt idx="264">
                  <c:v>151.63053443649136</c:v>
                </c:pt>
                <c:pt idx="265">
                  <c:v>80.067753730481542</c:v>
                </c:pt>
                <c:pt idx="266">
                  <c:v>117.76231941738629</c:v>
                </c:pt>
                <c:pt idx="267">
                  <c:v>101.98202967360228</c:v>
                </c:pt>
                <c:pt idx="268">
                  <c:v>125.74700634853855</c:v>
                </c:pt>
                <c:pt idx="269">
                  <c:v>84.831632324276697</c:v>
                </c:pt>
                <c:pt idx="270">
                  <c:v>85.819617513531014</c:v>
                </c:pt>
                <c:pt idx="271">
                  <c:v>127.3703265594574</c:v>
                </c:pt>
                <c:pt idx="272">
                  <c:v>190.77885455723015</c:v>
                </c:pt>
                <c:pt idx="273">
                  <c:v>121.66930043533742</c:v>
                </c:pt>
                <c:pt idx="274">
                  <c:v>112.78983388607435</c:v>
                </c:pt>
                <c:pt idx="275">
                  <c:v>148.243235372268</c:v>
                </c:pt>
                <c:pt idx="276">
                  <c:v>81.303566570320911</c:v>
                </c:pt>
                <c:pt idx="277">
                  <c:v>116.20671134548482</c:v>
                </c:pt>
                <c:pt idx="278">
                  <c:v>86.458085191737936</c:v>
                </c:pt>
                <c:pt idx="279">
                  <c:v>110.82548197882912</c:v>
                </c:pt>
                <c:pt idx="280">
                  <c:v>152.00178979312938</c:v>
                </c:pt>
                <c:pt idx="281">
                  <c:v>95.44695402983578</c:v>
                </c:pt>
                <c:pt idx="282">
                  <c:v>95.941815966053539</c:v>
                </c:pt>
                <c:pt idx="283">
                  <c:v>103.59792648930706</c:v>
                </c:pt>
                <c:pt idx="284">
                  <c:v>102.03656432293748</c:v>
                </c:pt>
                <c:pt idx="285">
                  <c:v>133.569984576233</c:v>
                </c:pt>
                <c:pt idx="286">
                  <c:v>89.03750145491145</c:v>
                </c:pt>
                <c:pt idx="287">
                  <c:v>128.43151462254383</c:v>
                </c:pt>
                <c:pt idx="288">
                  <c:v>200.32014337262677</c:v>
                </c:pt>
                <c:pt idx="289">
                  <c:v>80.700273526194451</c:v>
                </c:pt>
                <c:pt idx="290">
                  <c:v>139.05881510987712</c:v>
                </c:pt>
                <c:pt idx="291">
                  <c:v>79.634962168813317</c:v>
                </c:pt>
                <c:pt idx="292">
                  <c:v>137.53369371287241</c:v>
                </c:pt>
                <c:pt idx="293">
                  <c:v>180.78342967777709</c:v>
                </c:pt>
                <c:pt idx="294">
                  <c:v>115.9802526472368</c:v>
                </c:pt>
                <c:pt idx="295">
                  <c:v>106.02889692520012</c:v>
                </c:pt>
                <c:pt idx="296">
                  <c:v>153.98651526784329</c:v>
                </c:pt>
                <c:pt idx="297">
                  <c:v>91.039508035222468</c:v>
                </c:pt>
                <c:pt idx="298">
                  <c:v>136.3322570012844</c:v>
                </c:pt>
                <c:pt idx="299">
                  <c:v>131.18331782034304</c:v>
                </c:pt>
                <c:pt idx="300">
                  <c:v>80.106160241078001</c:v>
                </c:pt>
                <c:pt idx="301">
                  <c:v>80.546331767866718</c:v>
                </c:pt>
                <c:pt idx="302">
                  <c:v>103.56708654597024</c:v>
                </c:pt>
                <c:pt idx="303">
                  <c:v>94.814491813936542</c:v>
                </c:pt>
                <c:pt idx="304">
                  <c:v>98.500199252695623</c:v>
                </c:pt>
                <c:pt idx="305">
                  <c:v>81.142639705930776</c:v>
                </c:pt>
                <c:pt idx="306">
                  <c:v>98.724670012949943</c:v>
                </c:pt>
                <c:pt idx="307">
                  <c:v>83.495134067621422</c:v>
                </c:pt>
                <c:pt idx="308">
                  <c:v>80.004690593621163</c:v>
                </c:pt>
                <c:pt idx="309">
                  <c:v>79.856770319087062</c:v>
                </c:pt>
                <c:pt idx="310">
                  <c:v>79.820958048243185</c:v>
                </c:pt>
                <c:pt idx="311">
                  <c:v>105.8180650607827</c:v>
                </c:pt>
                <c:pt idx="312">
                  <c:v>94.885776323564585</c:v>
                </c:pt>
                <c:pt idx="313">
                  <c:v>85.213103312657537</c:v>
                </c:pt>
                <c:pt idx="314">
                  <c:v>83.150114095019546</c:v>
                </c:pt>
                <c:pt idx="315">
                  <c:v>103.01140157995702</c:v>
                </c:pt>
                <c:pt idx="316">
                  <c:v>131.59589291381957</c:v>
                </c:pt>
                <c:pt idx="317">
                  <c:v>110.34968682705708</c:v>
                </c:pt>
                <c:pt idx="318">
                  <c:v>142.08385428790552</c:v>
                </c:pt>
                <c:pt idx="319">
                  <c:v>141.4356704508599</c:v>
                </c:pt>
                <c:pt idx="320">
                  <c:v>105.66849612718576</c:v>
                </c:pt>
                <c:pt idx="321">
                  <c:v>89.826298242870678</c:v>
                </c:pt>
                <c:pt idx="322">
                  <c:v>93.895131040930451</c:v>
                </c:pt>
                <c:pt idx="323">
                  <c:v>104.77478209553111</c:v>
                </c:pt>
                <c:pt idx="324">
                  <c:v>89.853884806692236</c:v>
                </c:pt>
                <c:pt idx="325">
                  <c:v>93.155496107530638</c:v>
                </c:pt>
                <c:pt idx="326">
                  <c:v>120.68410964863773</c:v>
                </c:pt>
                <c:pt idx="327">
                  <c:v>178.70177236183304</c:v>
                </c:pt>
                <c:pt idx="328">
                  <c:v>81.2245329814006</c:v>
                </c:pt>
                <c:pt idx="329">
                  <c:v>176.52473285815395</c:v>
                </c:pt>
                <c:pt idx="330">
                  <c:v>101.02331177085209</c:v>
                </c:pt>
                <c:pt idx="331">
                  <c:v>81.500175572116561</c:v>
                </c:pt>
                <c:pt idx="332">
                  <c:v>96.834193149979711</c:v>
                </c:pt>
                <c:pt idx="333">
                  <c:v>132.91957327072637</c:v>
                </c:pt>
                <c:pt idx="334">
                  <c:v>112.94045391433104</c:v>
                </c:pt>
                <c:pt idx="335">
                  <c:v>95.878511093908884</c:v>
                </c:pt>
                <c:pt idx="336">
                  <c:v>79.156259809165817</c:v>
                </c:pt>
                <c:pt idx="337">
                  <c:v>84.538337731129772</c:v>
                </c:pt>
                <c:pt idx="338">
                  <c:v>78.941592244752044</c:v>
                </c:pt>
                <c:pt idx="339">
                  <c:v>88.781414609505234</c:v>
                </c:pt>
                <c:pt idx="340">
                  <c:v>226.97309608266985</c:v>
                </c:pt>
                <c:pt idx="341">
                  <c:v>94.882791584620122</c:v>
                </c:pt>
                <c:pt idx="342">
                  <c:v>91.024749295016207</c:v>
                </c:pt>
                <c:pt idx="343">
                  <c:v>86.838980556120646</c:v>
                </c:pt>
                <c:pt idx="344">
                  <c:v>139.54767277388058</c:v>
                </c:pt>
                <c:pt idx="345">
                  <c:v>80.221680910292505</c:v>
                </c:pt>
                <c:pt idx="346">
                  <c:v>98.091687668093655</c:v>
                </c:pt>
                <c:pt idx="347">
                  <c:v>80.264037409461366</c:v>
                </c:pt>
                <c:pt idx="348">
                  <c:v>80.076439402291527</c:v>
                </c:pt>
                <c:pt idx="349">
                  <c:v>96.604158959115352</c:v>
                </c:pt>
                <c:pt idx="350">
                  <c:v>89.420942167935962</c:v>
                </c:pt>
                <c:pt idx="351">
                  <c:v>110.44520448150017</c:v>
                </c:pt>
                <c:pt idx="352">
                  <c:v>79.714450348928381</c:v>
                </c:pt>
                <c:pt idx="353">
                  <c:v>79.062060648227515</c:v>
                </c:pt>
                <c:pt idx="354">
                  <c:v>149.98391395290179</c:v>
                </c:pt>
                <c:pt idx="355">
                  <c:v>85.424555663471551</c:v>
                </c:pt>
                <c:pt idx="356">
                  <c:v>79.961393044820881</c:v>
                </c:pt>
                <c:pt idx="357">
                  <c:v>86.222323736107455</c:v>
                </c:pt>
                <c:pt idx="358">
                  <c:v>97.359673371117864</c:v>
                </c:pt>
                <c:pt idx="359">
                  <c:v>97.376437310391992</c:v>
                </c:pt>
                <c:pt idx="360">
                  <c:v>124.64710988698737</c:v>
                </c:pt>
                <c:pt idx="361">
                  <c:v>136.06169004190565</c:v>
                </c:pt>
                <c:pt idx="362">
                  <c:v>100.80642872358412</c:v>
                </c:pt>
                <c:pt idx="363">
                  <c:v>88.139008508431417</c:v>
                </c:pt>
                <c:pt idx="364">
                  <c:v>79.984125642415435</c:v>
                </c:pt>
                <c:pt idx="365">
                  <c:v>143.96980189388151</c:v>
                </c:pt>
                <c:pt idx="366">
                  <c:v>86.862263180755335</c:v>
                </c:pt>
                <c:pt idx="367">
                  <c:v>79.854738790652831</c:v>
                </c:pt>
                <c:pt idx="368">
                  <c:v>105.21155367819075</c:v>
                </c:pt>
                <c:pt idx="369">
                  <c:v>87.817046884089947</c:v>
                </c:pt>
                <c:pt idx="370">
                  <c:v>134.17923311909681</c:v>
                </c:pt>
                <c:pt idx="371">
                  <c:v>80.339742076436281</c:v>
                </c:pt>
                <c:pt idx="372">
                  <c:v>79.759064097077911</c:v>
                </c:pt>
                <c:pt idx="373">
                  <c:v>111.53037461831795</c:v>
                </c:pt>
                <c:pt idx="374">
                  <c:v>79.698588639565031</c:v>
                </c:pt>
                <c:pt idx="375">
                  <c:v>106.10867854279873</c:v>
                </c:pt>
                <c:pt idx="376">
                  <c:v>112.81939785294185</c:v>
                </c:pt>
                <c:pt idx="377">
                  <c:v>109.32421828537699</c:v>
                </c:pt>
                <c:pt idx="378">
                  <c:v>91.230832305985246</c:v>
                </c:pt>
                <c:pt idx="379">
                  <c:v>86.848097864190024</c:v>
                </c:pt>
                <c:pt idx="380">
                  <c:v>80.336690691209313</c:v>
                </c:pt>
                <c:pt idx="381">
                  <c:v>84.876743818729082</c:v>
                </c:pt>
                <c:pt idx="382">
                  <c:v>115.27033884758882</c:v>
                </c:pt>
                <c:pt idx="383">
                  <c:v>129.03766737623567</c:v>
                </c:pt>
                <c:pt idx="384">
                  <c:v>167.9013416374309</c:v>
                </c:pt>
                <c:pt idx="385">
                  <c:v>91.590543799428474</c:v>
                </c:pt>
                <c:pt idx="386">
                  <c:v>96.527701305917816</c:v>
                </c:pt>
                <c:pt idx="387">
                  <c:v>138.42400421724048</c:v>
                </c:pt>
                <c:pt idx="388">
                  <c:v>136.41506412020979</c:v>
                </c:pt>
                <c:pt idx="389">
                  <c:v>100.06949350645372</c:v>
                </c:pt>
                <c:pt idx="390">
                  <c:v>123.95338504348905</c:v>
                </c:pt>
                <c:pt idx="391">
                  <c:v>123.28620368948684</c:v>
                </c:pt>
                <c:pt idx="392">
                  <c:v>96.873301369111161</c:v>
                </c:pt>
                <c:pt idx="393">
                  <c:v>196.32052138947773</c:v>
                </c:pt>
                <c:pt idx="394">
                  <c:v>105.85199977750584</c:v>
                </c:pt>
                <c:pt idx="395">
                  <c:v>105.8435206482928</c:v>
                </c:pt>
                <c:pt idx="396">
                  <c:v>122.12502348701709</c:v>
                </c:pt>
                <c:pt idx="397">
                  <c:v>80.289280101863724</c:v>
                </c:pt>
                <c:pt idx="398">
                  <c:v>142.68023371958802</c:v>
                </c:pt>
                <c:pt idx="399">
                  <c:v>79.779564690358399</c:v>
                </c:pt>
                <c:pt idx="400">
                  <c:v>87.172062766675552</c:v>
                </c:pt>
                <c:pt idx="401">
                  <c:v>84.488127834674714</c:v>
                </c:pt>
                <c:pt idx="402">
                  <c:v>126.13526583359605</c:v>
                </c:pt>
                <c:pt idx="403">
                  <c:v>137.59015990345705</c:v>
                </c:pt>
                <c:pt idx="404">
                  <c:v>112.37539899382891</c:v>
                </c:pt>
                <c:pt idx="405">
                  <c:v>79.889263476143512</c:v>
                </c:pt>
                <c:pt idx="406">
                  <c:v>104.04446408760349</c:v>
                </c:pt>
                <c:pt idx="407">
                  <c:v>103.75309642733365</c:v>
                </c:pt>
                <c:pt idx="408">
                  <c:v>116.19516314017901</c:v>
                </c:pt>
                <c:pt idx="409">
                  <c:v>113.89465146941987</c:v>
                </c:pt>
                <c:pt idx="410">
                  <c:v>80.11433537960508</c:v>
                </c:pt>
                <c:pt idx="411">
                  <c:v>79.786904347596277</c:v>
                </c:pt>
                <c:pt idx="412">
                  <c:v>83.674994642883391</c:v>
                </c:pt>
                <c:pt idx="413">
                  <c:v>79.661893695764974</c:v>
                </c:pt>
                <c:pt idx="414">
                  <c:v>87.439676092168099</c:v>
                </c:pt>
                <c:pt idx="415">
                  <c:v>103.55153586544573</c:v>
                </c:pt>
                <c:pt idx="416">
                  <c:v>139.05922835644262</c:v>
                </c:pt>
                <c:pt idx="417">
                  <c:v>124.88401986987812</c:v>
                </c:pt>
                <c:pt idx="418">
                  <c:v>79.454900711398693</c:v>
                </c:pt>
                <c:pt idx="419">
                  <c:v>80.407885357415623</c:v>
                </c:pt>
                <c:pt idx="420">
                  <c:v>121.98263754015544</c:v>
                </c:pt>
                <c:pt idx="421">
                  <c:v>80.187858577789044</c:v>
                </c:pt>
                <c:pt idx="422">
                  <c:v>102.41851776132674</c:v>
                </c:pt>
                <c:pt idx="423">
                  <c:v>84.225735164591455</c:v>
                </c:pt>
                <c:pt idx="424">
                  <c:v>80.138174248371925</c:v>
                </c:pt>
                <c:pt idx="425">
                  <c:v>80.723586441144505</c:v>
                </c:pt>
                <c:pt idx="426">
                  <c:v>80.24635796994545</c:v>
                </c:pt>
                <c:pt idx="427">
                  <c:v>123.16927286045193</c:v>
                </c:pt>
                <c:pt idx="428">
                  <c:v>108.6220087364957</c:v>
                </c:pt>
                <c:pt idx="429">
                  <c:v>91.08589356616389</c:v>
                </c:pt>
                <c:pt idx="430">
                  <c:v>87.515743152366809</c:v>
                </c:pt>
                <c:pt idx="431">
                  <c:v>79.872738784199996</c:v>
                </c:pt>
                <c:pt idx="432">
                  <c:v>237.94332904709248</c:v>
                </c:pt>
                <c:pt idx="433">
                  <c:v>79.731298051904943</c:v>
                </c:pt>
                <c:pt idx="434">
                  <c:v>101.47463667633772</c:v>
                </c:pt>
                <c:pt idx="435">
                  <c:v>79.752596570301378</c:v>
                </c:pt>
                <c:pt idx="436">
                  <c:v>78.82724043181635</c:v>
                </c:pt>
                <c:pt idx="437">
                  <c:v>106.05991127154816</c:v>
                </c:pt>
                <c:pt idx="438">
                  <c:v>87.766213137013935</c:v>
                </c:pt>
                <c:pt idx="439">
                  <c:v>124.46669565766273</c:v>
                </c:pt>
                <c:pt idx="440">
                  <c:v>83.715430820741929</c:v>
                </c:pt>
                <c:pt idx="441">
                  <c:v>168.63981099583845</c:v>
                </c:pt>
                <c:pt idx="442">
                  <c:v>81.043332196114406</c:v>
                </c:pt>
                <c:pt idx="443">
                  <c:v>83.627484911222666</c:v>
                </c:pt>
                <c:pt idx="444">
                  <c:v>90.994784575571643</c:v>
                </c:pt>
                <c:pt idx="445">
                  <c:v>105.63218802884701</c:v>
                </c:pt>
                <c:pt idx="446">
                  <c:v>103.23920912753319</c:v>
                </c:pt>
                <c:pt idx="447">
                  <c:v>116.08278723024195</c:v>
                </c:pt>
                <c:pt idx="448">
                  <c:v>79.190910829707192</c:v>
                </c:pt>
                <c:pt idx="449">
                  <c:v>115.12515739173102</c:v>
                </c:pt>
                <c:pt idx="450">
                  <c:v>79.954143539921247</c:v>
                </c:pt>
                <c:pt idx="451">
                  <c:v>108.57529732703387</c:v>
                </c:pt>
                <c:pt idx="452">
                  <c:v>100.99616939836844</c:v>
                </c:pt>
                <c:pt idx="453">
                  <c:v>80.788513134264534</c:v>
                </c:pt>
                <c:pt idx="454">
                  <c:v>92.290212402437675</c:v>
                </c:pt>
                <c:pt idx="455">
                  <c:v>149.46861860811779</c:v>
                </c:pt>
                <c:pt idx="456">
                  <c:v>90.604888097693248</c:v>
                </c:pt>
                <c:pt idx="457">
                  <c:v>109.69089825541792</c:v>
                </c:pt>
                <c:pt idx="458">
                  <c:v>80.56920045448264</c:v>
                </c:pt>
                <c:pt idx="459">
                  <c:v>80.398914968991804</c:v>
                </c:pt>
                <c:pt idx="460">
                  <c:v>115.85519214941122</c:v>
                </c:pt>
                <c:pt idx="461">
                  <c:v>132.33281843266155</c:v>
                </c:pt>
                <c:pt idx="462">
                  <c:v>96.869138353419842</c:v>
                </c:pt>
                <c:pt idx="463">
                  <c:v>82.088631604900939</c:v>
                </c:pt>
                <c:pt idx="464">
                  <c:v>84.147333423268364</c:v>
                </c:pt>
                <c:pt idx="465">
                  <c:v>96.563125980700192</c:v>
                </c:pt>
                <c:pt idx="466">
                  <c:v>130.28706881581877</c:v>
                </c:pt>
                <c:pt idx="467">
                  <c:v>80.959863637830537</c:v>
                </c:pt>
                <c:pt idx="468">
                  <c:v>112.66847581598915</c:v>
                </c:pt>
                <c:pt idx="469">
                  <c:v>79.749288399534478</c:v>
                </c:pt>
                <c:pt idx="470">
                  <c:v>92.305265005314112</c:v>
                </c:pt>
                <c:pt idx="471">
                  <c:v>78.873411826450038</c:v>
                </c:pt>
                <c:pt idx="472">
                  <c:v>79.454250564510915</c:v>
                </c:pt>
                <c:pt idx="473">
                  <c:v>79.385884025503557</c:v>
                </c:pt>
                <c:pt idx="474">
                  <c:v>80.60822040986632</c:v>
                </c:pt>
                <c:pt idx="475">
                  <c:v>105.97458433303066</c:v>
                </c:pt>
                <c:pt idx="476">
                  <c:v>80.664466367555605</c:v>
                </c:pt>
                <c:pt idx="477">
                  <c:v>180.31986454323561</c:v>
                </c:pt>
                <c:pt idx="478">
                  <c:v>122.8267122258418</c:v>
                </c:pt>
                <c:pt idx="479">
                  <c:v>108.36792549350862</c:v>
                </c:pt>
                <c:pt idx="480">
                  <c:v>143.21121883275114</c:v>
                </c:pt>
                <c:pt idx="481">
                  <c:v>79.666140709726335</c:v>
                </c:pt>
                <c:pt idx="482">
                  <c:v>171.66600805439862</c:v>
                </c:pt>
                <c:pt idx="483">
                  <c:v>80.455432577521222</c:v>
                </c:pt>
                <c:pt idx="484">
                  <c:v>81.812986094307661</c:v>
                </c:pt>
                <c:pt idx="485">
                  <c:v>116.88191821630498</c:v>
                </c:pt>
                <c:pt idx="486">
                  <c:v>200.55124482368703</c:v>
                </c:pt>
                <c:pt idx="487">
                  <c:v>126.37799778094961</c:v>
                </c:pt>
                <c:pt idx="488">
                  <c:v>95.739434589868324</c:v>
                </c:pt>
                <c:pt idx="489">
                  <c:v>96.231255498142829</c:v>
                </c:pt>
                <c:pt idx="490">
                  <c:v>79.416945694467842</c:v>
                </c:pt>
                <c:pt idx="491">
                  <c:v>116.19603336943405</c:v>
                </c:pt>
                <c:pt idx="492">
                  <c:v>91.844343425176376</c:v>
                </c:pt>
                <c:pt idx="493">
                  <c:v>105.45799068444521</c:v>
                </c:pt>
                <c:pt idx="494">
                  <c:v>97.377706775864937</c:v>
                </c:pt>
                <c:pt idx="495">
                  <c:v>111.27679512115785</c:v>
                </c:pt>
                <c:pt idx="496">
                  <c:v>96.862764281969646</c:v>
                </c:pt>
                <c:pt idx="497">
                  <c:v>88.952495802885196</c:v>
                </c:pt>
                <c:pt idx="498">
                  <c:v>97.047195215602486</c:v>
                </c:pt>
                <c:pt idx="499">
                  <c:v>95.599110316072299</c:v>
                </c:pt>
                <c:pt idx="500">
                  <c:v>118.241854199801</c:v>
                </c:pt>
                <c:pt idx="501">
                  <c:v>107.98864877284348</c:v>
                </c:pt>
                <c:pt idx="502">
                  <c:v>80.748307931532452</c:v>
                </c:pt>
                <c:pt idx="503">
                  <c:v>134.04763305054456</c:v>
                </c:pt>
                <c:pt idx="504">
                  <c:v>83.055475802647592</c:v>
                </c:pt>
                <c:pt idx="505">
                  <c:v>86.470455650182586</c:v>
                </c:pt>
                <c:pt idx="506">
                  <c:v>122.44270396890043</c:v>
                </c:pt>
                <c:pt idx="507">
                  <c:v>94.240153143969508</c:v>
                </c:pt>
                <c:pt idx="508">
                  <c:v>99.515570804133304</c:v>
                </c:pt>
                <c:pt idx="509">
                  <c:v>80.460132602150182</c:v>
                </c:pt>
                <c:pt idx="510">
                  <c:v>79.996279354051055</c:v>
                </c:pt>
                <c:pt idx="511">
                  <c:v>135.33445443673725</c:v>
                </c:pt>
                <c:pt idx="512">
                  <c:v>79.565731363696116</c:v>
                </c:pt>
                <c:pt idx="513">
                  <c:v>120.5033366078835</c:v>
                </c:pt>
                <c:pt idx="514">
                  <c:v>103.64293621004374</c:v>
                </c:pt>
                <c:pt idx="515">
                  <c:v>82.067098075919091</c:v>
                </c:pt>
                <c:pt idx="516">
                  <c:v>79.695069582935034</c:v>
                </c:pt>
                <c:pt idx="517">
                  <c:v>137.9354356982511</c:v>
                </c:pt>
                <c:pt idx="518">
                  <c:v>109.24438152409611</c:v>
                </c:pt>
                <c:pt idx="519">
                  <c:v>102.68132945712229</c:v>
                </c:pt>
                <c:pt idx="520">
                  <c:v>122.80595330132432</c:v>
                </c:pt>
                <c:pt idx="521">
                  <c:v>88.886160435066103</c:v>
                </c:pt>
                <c:pt idx="522">
                  <c:v>119.56447319265054</c:v>
                </c:pt>
                <c:pt idx="523">
                  <c:v>183.77247774963908</c:v>
                </c:pt>
                <c:pt idx="524">
                  <c:v>79.564603751520863</c:v>
                </c:pt>
                <c:pt idx="525">
                  <c:v>101.64783283056397</c:v>
                </c:pt>
                <c:pt idx="526">
                  <c:v>148.74183909548171</c:v>
                </c:pt>
                <c:pt idx="527">
                  <c:v>135.09973082395456</c:v>
                </c:pt>
                <c:pt idx="528">
                  <c:v>90.046197461423077</c:v>
                </c:pt>
                <c:pt idx="529">
                  <c:v>97.911141879242308</c:v>
                </c:pt>
                <c:pt idx="530">
                  <c:v>125.22321873355067</c:v>
                </c:pt>
                <c:pt idx="531">
                  <c:v>82.177704329051622</c:v>
                </c:pt>
                <c:pt idx="532">
                  <c:v>135.61905150270832</c:v>
                </c:pt>
                <c:pt idx="533">
                  <c:v>92.67406982214986</c:v>
                </c:pt>
                <c:pt idx="534">
                  <c:v>89.398005829780359</c:v>
                </c:pt>
                <c:pt idx="535">
                  <c:v>107.54149074403956</c:v>
                </c:pt>
                <c:pt idx="536">
                  <c:v>80.304001386770423</c:v>
                </c:pt>
                <c:pt idx="537">
                  <c:v>109.18009489667458</c:v>
                </c:pt>
                <c:pt idx="538">
                  <c:v>85.397315029328439</c:v>
                </c:pt>
                <c:pt idx="539">
                  <c:v>138.92064072853526</c:v>
                </c:pt>
                <c:pt idx="540">
                  <c:v>111.2682311808083</c:v>
                </c:pt>
                <c:pt idx="541">
                  <c:v>126.94403018188937</c:v>
                </c:pt>
                <c:pt idx="542">
                  <c:v>124.2450297891684</c:v>
                </c:pt>
                <c:pt idx="543">
                  <c:v>121.23580511530272</c:v>
                </c:pt>
                <c:pt idx="544">
                  <c:v>96.572585853740591</c:v>
                </c:pt>
                <c:pt idx="545">
                  <c:v>79.49701366289257</c:v>
                </c:pt>
                <c:pt idx="546">
                  <c:v>80.267901356904986</c:v>
                </c:pt>
                <c:pt idx="547">
                  <c:v>146.19189708497163</c:v>
                </c:pt>
                <c:pt idx="548">
                  <c:v>79.672330621908628</c:v>
                </c:pt>
                <c:pt idx="549">
                  <c:v>82.256032208383104</c:v>
                </c:pt>
                <c:pt idx="550">
                  <c:v>131.63806202958133</c:v>
                </c:pt>
                <c:pt idx="551">
                  <c:v>108.16148566892043</c:v>
                </c:pt>
                <c:pt idx="552">
                  <c:v>79.496816634229049</c:v>
                </c:pt>
                <c:pt idx="553">
                  <c:v>79.759509281252207</c:v>
                </c:pt>
                <c:pt idx="554">
                  <c:v>79.929275162653084</c:v>
                </c:pt>
                <c:pt idx="555">
                  <c:v>171.42538550301467</c:v>
                </c:pt>
                <c:pt idx="556">
                  <c:v>99.523954866812659</c:v>
                </c:pt>
                <c:pt idx="557">
                  <c:v>175.91788307873929</c:v>
                </c:pt>
                <c:pt idx="558">
                  <c:v>158.17325788139922</c:v>
                </c:pt>
                <c:pt idx="559">
                  <c:v>95.192665481534164</c:v>
                </c:pt>
                <c:pt idx="560">
                  <c:v>79.025551303143459</c:v>
                </c:pt>
                <c:pt idx="561">
                  <c:v>157.19117046349513</c:v>
                </c:pt>
                <c:pt idx="562">
                  <c:v>120.28100270336147</c:v>
                </c:pt>
                <c:pt idx="563">
                  <c:v>183.70290446632677</c:v>
                </c:pt>
                <c:pt idx="564">
                  <c:v>182.96505170155859</c:v>
                </c:pt>
                <c:pt idx="565">
                  <c:v>112.17478815774075</c:v>
                </c:pt>
                <c:pt idx="566">
                  <c:v>87.802395286053795</c:v>
                </c:pt>
                <c:pt idx="567">
                  <c:v>114.90700963409658</c:v>
                </c:pt>
                <c:pt idx="568">
                  <c:v>118.18635110137849</c:v>
                </c:pt>
                <c:pt idx="569">
                  <c:v>123.66901061331616</c:v>
                </c:pt>
                <c:pt idx="570">
                  <c:v>85.714211338741435</c:v>
                </c:pt>
                <c:pt idx="571">
                  <c:v>80.697583148407901</c:v>
                </c:pt>
                <c:pt idx="572">
                  <c:v>129.13720786112285</c:v>
                </c:pt>
                <c:pt idx="573">
                  <c:v>117.31919134503207</c:v>
                </c:pt>
                <c:pt idx="574">
                  <c:v>80.054442739581361</c:v>
                </c:pt>
                <c:pt idx="575">
                  <c:v>84.74793929698113</c:v>
                </c:pt>
                <c:pt idx="576">
                  <c:v>209.68530590100042</c:v>
                </c:pt>
                <c:pt idx="577">
                  <c:v>80.40261443301884</c:v>
                </c:pt>
                <c:pt idx="578">
                  <c:v>174.4815420740544</c:v>
                </c:pt>
                <c:pt idx="579">
                  <c:v>94.658599587406584</c:v>
                </c:pt>
                <c:pt idx="580">
                  <c:v>79.649324405368162</c:v>
                </c:pt>
                <c:pt idx="581">
                  <c:v>89.656581090063639</c:v>
                </c:pt>
                <c:pt idx="582">
                  <c:v>143.51175097160888</c:v>
                </c:pt>
                <c:pt idx="583">
                  <c:v>113.84079917502491</c:v>
                </c:pt>
                <c:pt idx="584">
                  <c:v>125.35520514473653</c:v>
                </c:pt>
                <c:pt idx="585">
                  <c:v>117.02914689263365</c:v>
                </c:pt>
                <c:pt idx="586">
                  <c:v>121.80624968241403</c:v>
                </c:pt>
                <c:pt idx="587">
                  <c:v>102.44116886275594</c:v>
                </c:pt>
                <c:pt idx="588">
                  <c:v>84.682756023592319</c:v>
                </c:pt>
                <c:pt idx="589">
                  <c:v>107.33329772699823</c:v>
                </c:pt>
                <c:pt idx="590">
                  <c:v>89.533204463069083</c:v>
                </c:pt>
                <c:pt idx="591">
                  <c:v>148.87539262783753</c:v>
                </c:pt>
                <c:pt idx="592">
                  <c:v>80.710430340962986</c:v>
                </c:pt>
                <c:pt idx="593">
                  <c:v>129.65209233641855</c:v>
                </c:pt>
                <c:pt idx="594">
                  <c:v>132.21813857596891</c:v>
                </c:pt>
                <c:pt idx="595">
                  <c:v>94.034392386291898</c:v>
                </c:pt>
                <c:pt idx="596">
                  <c:v>78.932491007686195</c:v>
                </c:pt>
                <c:pt idx="597">
                  <c:v>79.787710584435118</c:v>
                </c:pt>
                <c:pt idx="598">
                  <c:v>79.57911757518913</c:v>
                </c:pt>
                <c:pt idx="599">
                  <c:v>79.283400531422046</c:v>
                </c:pt>
                <c:pt idx="600">
                  <c:v>114.12978890811507</c:v>
                </c:pt>
                <c:pt idx="601">
                  <c:v>140.40055268016161</c:v>
                </c:pt>
                <c:pt idx="602">
                  <c:v>79.773992721088959</c:v>
                </c:pt>
                <c:pt idx="603">
                  <c:v>131.73164106612234</c:v>
                </c:pt>
                <c:pt idx="604">
                  <c:v>135.58438438913717</c:v>
                </c:pt>
                <c:pt idx="605">
                  <c:v>167.91436565066334</c:v>
                </c:pt>
                <c:pt idx="606">
                  <c:v>110.83051945373489</c:v>
                </c:pt>
                <c:pt idx="607">
                  <c:v>97.117914885439859</c:v>
                </c:pt>
                <c:pt idx="608">
                  <c:v>139.01782242873878</c:v>
                </c:pt>
                <c:pt idx="609">
                  <c:v>84.22544087881289</c:v>
                </c:pt>
                <c:pt idx="610">
                  <c:v>100.70225129357037</c:v>
                </c:pt>
                <c:pt idx="611">
                  <c:v>143.22707233069431</c:v>
                </c:pt>
                <c:pt idx="612">
                  <c:v>80.94063836495647</c:v>
                </c:pt>
                <c:pt idx="613">
                  <c:v>89.96757751917778</c:v>
                </c:pt>
                <c:pt idx="614">
                  <c:v>144.73645036188941</c:v>
                </c:pt>
                <c:pt idx="615">
                  <c:v>157.63875494210848</c:v>
                </c:pt>
                <c:pt idx="616">
                  <c:v>113.55073112311486</c:v>
                </c:pt>
                <c:pt idx="617">
                  <c:v>83.497728847070618</c:v>
                </c:pt>
                <c:pt idx="618">
                  <c:v>97.003478356479746</c:v>
                </c:pt>
                <c:pt idx="619">
                  <c:v>79.825367934781454</c:v>
                </c:pt>
                <c:pt idx="620">
                  <c:v>146.81384858030819</c:v>
                </c:pt>
                <c:pt idx="621">
                  <c:v>140.13308912308889</c:v>
                </c:pt>
                <c:pt idx="622">
                  <c:v>165.48061748150963</c:v>
                </c:pt>
                <c:pt idx="623">
                  <c:v>84.041911611539348</c:v>
                </c:pt>
                <c:pt idx="624">
                  <c:v>79.392537095590782</c:v>
                </c:pt>
                <c:pt idx="625">
                  <c:v>80.095879649811678</c:v>
                </c:pt>
                <c:pt idx="626">
                  <c:v>157.51866165588669</c:v>
                </c:pt>
                <c:pt idx="627">
                  <c:v>97.102879898592974</c:v>
                </c:pt>
                <c:pt idx="628">
                  <c:v>80.235577542005814</c:v>
                </c:pt>
                <c:pt idx="629">
                  <c:v>80.612507289442348</c:v>
                </c:pt>
                <c:pt idx="630">
                  <c:v>78.688413041748973</c:v>
                </c:pt>
                <c:pt idx="631">
                  <c:v>133.61427921053328</c:v>
                </c:pt>
                <c:pt idx="632">
                  <c:v>117.6752569472369</c:v>
                </c:pt>
                <c:pt idx="633">
                  <c:v>100.7067619029601</c:v>
                </c:pt>
                <c:pt idx="634">
                  <c:v>126.17277396304014</c:v>
                </c:pt>
                <c:pt idx="635">
                  <c:v>104.87701459379106</c:v>
                </c:pt>
                <c:pt idx="636">
                  <c:v>132.17182639145977</c:v>
                </c:pt>
                <c:pt idx="637">
                  <c:v>110.1819968822047</c:v>
                </c:pt>
                <c:pt idx="638">
                  <c:v>80.683529821111151</c:v>
                </c:pt>
                <c:pt idx="639">
                  <c:v>135.99590007361317</c:v>
                </c:pt>
                <c:pt idx="640">
                  <c:v>91.724446795692174</c:v>
                </c:pt>
                <c:pt idx="641">
                  <c:v>88.106036066987159</c:v>
                </c:pt>
                <c:pt idx="642">
                  <c:v>169.03205464339075</c:v>
                </c:pt>
                <c:pt idx="643">
                  <c:v>122.13212883726936</c:v>
                </c:pt>
                <c:pt idx="644">
                  <c:v>80.274246847790877</c:v>
                </c:pt>
                <c:pt idx="645">
                  <c:v>80.773973617772668</c:v>
                </c:pt>
                <c:pt idx="646">
                  <c:v>91.459888523929919</c:v>
                </c:pt>
                <c:pt idx="647">
                  <c:v>132.16859960356024</c:v>
                </c:pt>
                <c:pt idx="648">
                  <c:v>88.451295024201116</c:v>
                </c:pt>
                <c:pt idx="649">
                  <c:v>83.4721278003897</c:v>
                </c:pt>
                <c:pt idx="650">
                  <c:v>80.359251538788968</c:v>
                </c:pt>
                <c:pt idx="651">
                  <c:v>104.26288953863174</c:v>
                </c:pt>
                <c:pt idx="652">
                  <c:v>80.965034021153315</c:v>
                </c:pt>
                <c:pt idx="653">
                  <c:v>80.745701267984344</c:v>
                </c:pt>
                <c:pt idx="654">
                  <c:v>105.03828768501063</c:v>
                </c:pt>
                <c:pt idx="655">
                  <c:v>80.222513316870234</c:v>
                </c:pt>
                <c:pt idx="656">
                  <c:v>125.09956649112624</c:v>
                </c:pt>
                <c:pt idx="657">
                  <c:v>116.15379894256972</c:v>
                </c:pt>
                <c:pt idx="658">
                  <c:v>101.15631061279124</c:v>
                </c:pt>
                <c:pt idx="659">
                  <c:v>118.64937966849176</c:v>
                </c:pt>
                <c:pt idx="660">
                  <c:v>90.188548631054346</c:v>
                </c:pt>
                <c:pt idx="661">
                  <c:v>103.35789810558074</c:v>
                </c:pt>
                <c:pt idx="662">
                  <c:v>92.98134346259198</c:v>
                </c:pt>
                <c:pt idx="663">
                  <c:v>94.329841806524371</c:v>
                </c:pt>
                <c:pt idx="664">
                  <c:v>141.31962783257876</c:v>
                </c:pt>
                <c:pt idx="665">
                  <c:v>131.02651551945024</c:v>
                </c:pt>
                <c:pt idx="666">
                  <c:v>80.1574843622695</c:v>
                </c:pt>
                <c:pt idx="667">
                  <c:v>109.58115727562136</c:v>
                </c:pt>
                <c:pt idx="668">
                  <c:v>80.333189561507226</c:v>
                </c:pt>
                <c:pt idx="669">
                  <c:v>118.72604441777764</c:v>
                </c:pt>
                <c:pt idx="670">
                  <c:v>123.77296013750622</c:v>
                </c:pt>
                <c:pt idx="671">
                  <c:v>95.89696975089214</c:v>
                </c:pt>
                <c:pt idx="672">
                  <c:v>136.34906763667695</c:v>
                </c:pt>
                <c:pt idx="673">
                  <c:v>80.260990819878202</c:v>
                </c:pt>
                <c:pt idx="674">
                  <c:v>80.655715610492791</c:v>
                </c:pt>
                <c:pt idx="675">
                  <c:v>84.718121301046281</c:v>
                </c:pt>
                <c:pt idx="676">
                  <c:v>125.31149235465813</c:v>
                </c:pt>
                <c:pt idx="677">
                  <c:v>123.55114665093056</c:v>
                </c:pt>
                <c:pt idx="678">
                  <c:v>152.83547104985627</c:v>
                </c:pt>
                <c:pt idx="679">
                  <c:v>85.023714560567399</c:v>
                </c:pt>
                <c:pt idx="680">
                  <c:v>122.17326480561134</c:v>
                </c:pt>
                <c:pt idx="681">
                  <c:v>79.775959210035865</c:v>
                </c:pt>
                <c:pt idx="682">
                  <c:v>139.39339601397145</c:v>
                </c:pt>
                <c:pt idx="683">
                  <c:v>93.614047821349629</c:v>
                </c:pt>
                <c:pt idx="684">
                  <c:v>79.83623084534824</c:v>
                </c:pt>
                <c:pt idx="685">
                  <c:v>104.80588622927266</c:v>
                </c:pt>
                <c:pt idx="686">
                  <c:v>95.656332982310019</c:v>
                </c:pt>
                <c:pt idx="687">
                  <c:v>79.769813790720477</c:v>
                </c:pt>
                <c:pt idx="688">
                  <c:v>97.816699336725804</c:v>
                </c:pt>
                <c:pt idx="689">
                  <c:v>132.0335396922695</c:v>
                </c:pt>
                <c:pt idx="690">
                  <c:v>120.6186775658917</c:v>
                </c:pt>
                <c:pt idx="691">
                  <c:v>79.659880499348205</c:v>
                </c:pt>
                <c:pt idx="692">
                  <c:v>79.692952450949079</c:v>
                </c:pt>
                <c:pt idx="693">
                  <c:v>101.13482190920161</c:v>
                </c:pt>
                <c:pt idx="694">
                  <c:v>105.64584659004126</c:v>
                </c:pt>
                <c:pt idx="695">
                  <c:v>99.727319931042345</c:v>
                </c:pt>
                <c:pt idx="696">
                  <c:v>80.488189856554214</c:v>
                </c:pt>
                <c:pt idx="697">
                  <c:v>95.991589476870914</c:v>
                </c:pt>
                <c:pt idx="698">
                  <c:v>95.582877749613587</c:v>
                </c:pt>
                <c:pt idx="699">
                  <c:v>132.10665232168103</c:v>
                </c:pt>
                <c:pt idx="700">
                  <c:v>112.625851830252</c:v>
                </c:pt>
                <c:pt idx="701">
                  <c:v>90.421095050541382</c:v>
                </c:pt>
                <c:pt idx="702">
                  <c:v>123.87922326244451</c:v>
                </c:pt>
                <c:pt idx="703">
                  <c:v>123.06294905810478</c:v>
                </c:pt>
                <c:pt idx="704">
                  <c:v>82.322405041554461</c:v>
                </c:pt>
                <c:pt idx="705">
                  <c:v>95.827125652175667</c:v>
                </c:pt>
                <c:pt idx="706">
                  <c:v>80.519845673984577</c:v>
                </c:pt>
                <c:pt idx="707">
                  <c:v>109.25781175075139</c:v>
                </c:pt>
                <c:pt idx="708">
                  <c:v>120.14844656043155</c:v>
                </c:pt>
                <c:pt idx="709">
                  <c:v>80.050374245759528</c:v>
                </c:pt>
                <c:pt idx="710">
                  <c:v>91.856555480183857</c:v>
                </c:pt>
                <c:pt idx="711">
                  <c:v>102.86819651417011</c:v>
                </c:pt>
                <c:pt idx="712">
                  <c:v>85.103406816415301</c:v>
                </c:pt>
                <c:pt idx="713">
                  <c:v>103.33358955901861</c:v>
                </c:pt>
                <c:pt idx="714">
                  <c:v>108.05812124135026</c:v>
                </c:pt>
                <c:pt idx="715">
                  <c:v>80.288572980766332</c:v>
                </c:pt>
                <c:pt idx="716">
                  <c:v>81.024845310841414</c:v>
                </c:pt>
                <c:pt idx="717">
                  <c:v>85.402132372701431</c:v>
                </c:pt>
                <c:pt idx="718">
                  <c:v>142.44341598204554</c:v>
                </c:pt>
                <c:pt idx="719">
                  <c:v>80.374723275047103</c:v>
                </c:pt>
                <c:pt idx="720">
                  <c:v>99.901185329967333</c:v>
                </c:pt>
                <c:pt idx="721">
                  <c:v>131.54444042111223</c:v>
                </c:pt>
                <c:pt idx="722">
                  <c:v>101.66593346330305</c:v>
                </c:pt>
                <c:pt idx="723">
                  <c:v>94.148100317404399</c:v>
                </c:pt>
                <c:pt idx="724">
                  <c:v>158.91665893605094</c:v>
                </c:pt>
                <c:pt idx="725">
                  <c:v>101.91717848153253</c:v>
                </c:pt>
                <c:pt idx="726">
                  <c:v>81.253045955184461</c:v>
                </c:pt>
                <c:pt idx="727">
                  <c:v>97.781475966761434</c:v>
                </c:pt>
                <c:pt idx="728">
                  <c:v>80.202574166033401</c:v>
                </c:pt>
                <c:pt idx="729">
                  <c:v>110.9794927616729</c:v>
                </c:pt>
                <c:pt idx="730">
                  <c:v>131.73206758592488</c:v>
                </c:pt>
                <c:pt idx="731">
                  <c:v>85.809099142066884</c:v>
                </c:pt>
                <c:pt idx="732">
                  <c:v>96.916972816994303</c:v>
                </c:pt>
                <c:pt idx="733">
                  <c:v>89.125900560500796</c:v>
                </c:pt>
                <c:pt idx="734">
                  <c:v>79.655178750876189</c:v>
                </c:pt>
                <c:pt idx="735">
                  <c:v>79.872028799978608</c:v>
                </c:pt>
                <c:pt idx="736">
                  <c:v>119.50728096288464</c:v>
                </c:pt>
                <c:pt idx="737">
                  <c:v>100.0496500245102</c:v>
                </c:pt>
                <c:pt idx="738">
                  <c:v>80.445653040180773</c:v>
                </c:pt>
                <c:pt idx="739">
                  <c:v>87.421160521455903</c:v>
                </c:pt>
                <c:pt idx="740">
                  <c:v>111.8751211554133</c:v>
                </c:pt>
                <c:pt idx="741">
                  <c:v>121.98100670021135</c:v>
                </c:pt>
                <c:pt idx="742">
                  <c:v>127.03277332223951</c:v>
                </c:pt>
                <c:pt idx="743">
                  <c:v>97.835483176154227</c:v>
                </c:pt>
                <c:pt idx="744">
                  <c:v>91.152261793113638</c:v>
                </c:pt>
                <c:pt idx="745">
                  <c:v>82.174028418009428</c:v>
                </c:pt>
                <c:pt idx="746">
                  <c:v>95.848492692198434</c:v>
                </c:pt>
                <c:pt idx="747">
                  <c:v>79.99454937953918</c:v>
                </c:pt>
                <c:pt idx="748">
                  <c:v>132.35269858875077</c:v>
                </c:pt>
                <c:pt idx="749">
                  <c:v>88.573316988664232</c:v>
                </c:pt>
                <c:pt idx="750">
                  <c:v>97.310516215350788</c:v>
                </c:pt>
                <c:pt idx="751">
                  <c:v>87.285322839737518</c:v>
                </c:pt>
                <c:pt idx="752">
                  <c:v>86.573252268537615</c:v>
                </c:pt>
                <c:pt idx="753">
                  <c:v>98.755343111447317</c:v>
                </c:pt>
                <c:pt idx="754">
                  <c:v>113.92883505324848</c:v>
                </c:pt>
                <c:pt idx="755">
                  <c:v>81.017410753207884</c:v>
                </c:pt>
                <c:pt idx="756">
                  <c:v>121.00041774289464</c:v>
                </c:pt>
                <c:pt idx="757">
                  <c:v>94.506509841298893</c:v>
                </c:pt>
                <c:pt idx="758">
                  <c:v>91.011142040630318</c:v>
                </c:pt>
                <c:pt idx="759">
                  <c:v>80.638198769003395</c:v>
                </c:pt>
                <c:pt idx="760">
                  <c:v>119.34971431040854</c:v>
                </c:pt>
                <c:pt idx="761">
                  <c:v>80.196394868755917</c:v>
                </c:pt>
                <c:pt idx="762">
                  <c:v>79.733166455062701</c:v>
                </c:pt>
                <c:pt idx="763">
                  <c:v>89.497438901972046</c:v>
                </c:pt>
                <c:pt idx="764">
                  <c:v>82.559980741165461</c:v>
                </c:pt>
                <c:pt idx="765">
                  <c:v>87.464394256391145</c:v>
                </c:pt>
                <c:pt idx="766">
                  <c:v>102.70104290304879</c:v>
                </c:pt>
                <c:pt idx="767">
                  <c:v>82.207944884840146</c:v>
                </c:pt>
                <c:pt idx="768">
                  <c:v>104.66174631837259</c:v>
                </c:pt>
                <c:pt idx="769">
                  <c:v>85.318902466796445</c:v>
                </c:pt>
                <c:pt idx="770">
                  <c:v>79.853810014676711</c:v>
                </c:pt>
                <c:pt idx="771">
                  <c:v>128.24277858882664</c:v>
                </c:pt>
                <c:pt idx="772">
                  <c:v>109.58424826713441</c:v>
                </c:pt>
                <c:pt idx="773">
                  <c:v>93.36513763689139</c:v>
                </c:pt>
                <c:pt idx="774">
                  <c:v>87.744917304593855</c:v>
                </c:pt>
                <c:pt idx="775">
                  <c:v>104.59770962046105</c:v>
                </c:pt>
                <c:pt idx="776">
                  <c:v>102.34866610178545</c:v>
                </c:pt>
                <c:pt idx="777">
                  <c:v>108.68534396902136</c:v>
                </c:pt>
                <c:pt idx="778">
                  <c:v>80.62053963544615</c:v>
                </c:pt>
                <c:pt idx="779">
                  <c:v>80.557271030698104</c:v>
                </c:pt>
                <c:pt idx="780">
                  <c:v>131.630498491189</c:v>
                </c:pt>
                <c:pt idx="781">
                  <c:v>173.84503433678685</c:v>
                </c:pt>
                <c:pt idx="782">
                  <c:v>103.48861509826828</c:v>
                </c:pt>
                <c:pt idx="783">
                  <c:v>93.06229352310811</c:v>
                </c:pt>
                <c:pt idx="784">
                  <c:v>127.40031051738112</c:v>
                </c:pt>
                <c:pt idx="785">
                  <c:v>114.37346906240698</c:v>
                </c:pt>
                <c:pt idx="786">
                  <c:v>154.3573339225936</c:v>
                </c:pt>
                <c:pt idx="787">
                  <c:v>80.164264538876182</c:v>
                </c:pt>
                <c:pt idx="788">
                  <c:v>153.59156852784065</c:v>
                </c:pt>
                <c:pt idx="789">
                  <c:v>80.495086325264808</c:v>
                </c:pt>
                <c:pt idx="790">
                  <c:v>130.16835144389043</c:v>
                </c:pt>
                <c:pt idx="791">
                  <c:v>80.6270127085469</c:v>
                </c:pt>
                <c:pt idx="792">
                  <c:v>148.53165621156509</c:v>
                </c:pt>
                <c:pt idx="793">
                  <c:v>104.65525910107428</c:v>
                </c:pt>
                <c:pt idx="794">
                  <c:v>146.8352535634462</c:v>
                </c:pt>
                <c:pt idx="795">
                  <c:v>81.027270501756519</c:v>
                </c:pt>
                <c:pt idx="796">
                  <c:v>150.36566450956605</c:v>
                </c:pt>
                <c:pt idx="797">
                  <c:v>131.02095136975214</c:v>
                </c:pt>
                <c:pt idx="798">
                  <c:v>80.019565186410489</c:v>
                </c:pt>
                <c:pt idx="799">
                  <c:v>103.8257355150774</c:v>
                </c:pt>
                <c:pt idx="800">
                  <c:v>88.531849689081938</c:v>
                </c:pt>
                <c:pt idx="801">
                  <c:v>108.6073638371834</c:v>
                </c:pt>
                <c:pt idx="802">
                  <c:v>79.683472968734264</c:v>
                </c:pt>
                <c:pt idx="803">
                  <c:v>99.407338258907203</c:v>
                </c:pt>
                <c:pt idx="804">
                  <c:v>112.10499245734086</c:v>
                </c:pt>
                <c:pt idx="805">
                  <c:v>80.472368305486299</c:v>
                </c:pt>
                <c:pt idx="806">
                  <c:v>89.87038168087129</c:v>
                </c:pt>
                <c:pt idx="807">
                  <c:v>79.781207225824971</c:v>
                </c:pt>
                <c:pt idx="808">
                  <c:v>85.484318445382954</c:v>
                </c:pt>
                <c:pt idx="809">
                  <c:v>141.03510784260757</c:v>
                </c:pt>
                <c:pt idx="810">
                  <c:v>81.752738076374641</c:v>
                </c:pt>
                <c:pt idx="811">
                  <c:v>84.586239414061566</c:v>
                </c:pt>
                <c:pt idx="812">
                  <c:v>91.05103102579919</c:v>
                </c:pt>
                <c:pt idx="813">
                  <c:v>157.6192283892602</c:v>
                </c:pt>
                <c:pt idx="814">
                  <c:v>79.471778215995457</c:v>
                </c:pt>
                <c:pt idx="815">
                  <c:v>117.78568218942169</c:v>
                </c:pt>
                <c:pt idx="816">
                  <c:v>79.413625663686062</c:v>
                </c:pt>
                <c:pt idx="817">
                  <c:v>122.72101391066577</c:v>
                </c:pt>
                <c:pt idx="818">
                  <c:v>79.359793098351219</c:v>
                </c:pt>
                <c:pt idx="819">
                  <c:v>104.97012048349403</c:v>
                </c:pt>
                <c:pt idx="820">
                  <c:v>83.706040226609815</c:v>
                </c:pt>
                <c:pt idx="821">
                  <c:v>79.521863219934716</c:v>
                </c:pt>
                <c:pt idx="822">
                  <c:v>102.64414875455563</c:v>
                </c:pt>
                <c:pt idx="823">
                  <c:v>87.998314875513998</c:v>
                </c:pt>
                <c:pt idx="824">
                  <c:v>193.03240458579998</c:v>
                </c:pt>
                <c:pt idx="825">
                  <c:v>110.88099089446486</c:v>
                </c:pt>
                <c:pt idx="826">
                  <c:v>81.812892154230568</c:v>
                </c:pt>
                <c:pt idx="827">
                  <c:v>141.81194400168536</c:v>
                </c:pt>
                <c:pt idx="828">
                  <c:v>88.790562925196596</c:v>
                </c:pt>
                <c:pt idx="829">
                  <c:v>91.010326232868124</c:v>
                </c:pt>
                <c:pt idx="830">
                  <c:v>86.907595096522812</c:v>
                </c:pt>
                <c:pt idx="831">
                  <c:v>223.92106651260096</c:v>
                </c:pt>
                <c:pt idx="832">
                  <c:v>80.112040749797416</c:v>
                </c:pt>
                <c:pt idx="833">
                  <c:v>158.96150599640902</c:v>
                </c:pt>
                <c:pt idx="834">
                  <c:v>79.016707739070085</c:v>
                </c:pt>
                <c:pt idx="835">
                  <c:v>79.234738902666621</c:v>
                </c:pt>
                <c:pt idx="836">
                  <c:v>81.217626660508188</c:v>
                </c:pt>
                <c:pt idx="837">
                  <c:v>79.444087615039024</c:v>
                </c:pt>
                <c:pt idx="838">
                  <c:v>83.544121145455776</c:v>
                </c:pt>
                <c:pt idx="839">
                  <c:v>141.91389441209029</c:v>
                </c:pt>
                <c:pt idx="840">
                  <c:v>154.54518307225231</c:v>
                </c:pt>
                <c:pt idx="841">
                  <c:v>79.902009446575363</c:v>
                </c:pt>
                <c:pt idx="842">
                  <c:v>106.24036164414508</c:v>
                </c:pt>
                <c:pt idx="843">
                  <c:v>92.544069878393529</c:v>
                </c:pt>
                <c:pt idx="844">
                  <c:v>86.701135036493511</c:v>
                </c:pt>
                <c:pt idx="845">
                  <c:v>145.01114166768591</c:v>
                </c:pt>
                <c:pt idx="846">
                  <c:v>81.370794354891757</c:v>
                </c:pt>
                <c:pt idx="847">
                  <c:v>164.53624172535928</c:v>
                </c:pt>
                <c:pt idx="848">
                  <c:v>83.083356388818643</c:v>
                </c:pt>
                <c:pt idx="849">
                  <c:v>80.019888025952923</c:v>
                </c:pt>
                <c:pt idx="850">
                  <c:v>79.994151248008862</c:v>
                </c:pt>
                <c:pt idx="851">
                  <c:v>115.10868980778592</c:v>
                </c:pt>
                <c:pt idx="852">
                  <c:v>80.241940868927202</c:v>
                </c:pt>
                <c:pt idx="853">
                  <c:v>79.439058420809687</c:v>
                </c:pt>
                <c:pt idx="854">
                  <c:v>128.06151014018135</c:v>
                </c:pt>
                <c:pt idx="855">
                  <c:v>108.38936712125228</c:v>
                </c:pt>
                <c:pt idx="856">
                  <c:v>104.26186725291251</c:v>
                </c:pt>
                <c:pt idx="857">
                  <c:v>84.289859770672109</c:v>
                </c:pt>
                <c:pt idx="858">
                  <c:v>143.94460995229937</c:v>
                </c:pt>
                <c:pt idx="859">
                  <c:v>244.37559883919806</c:v>
                </c:pt>
                <c:pt idx="860">
                  <c:v>97.918696149505948</c:v>
                </c:pt>
                <c:pt idx="861">
                  <c:v>92.322546093683485</c:v>
                </c:pt>
                <c:pt idx="862">
                  <c:v>109.63930072240655</c:v>
                </c:pt>
                <c:pt idx="863">
                  <c:v>99.924835905736614</c:v>
                </c:pt>
                <c:pt idx="864">
                  <c:v>106.76070143180743</c:v>
                </c:pt>
                <c:pt idx="865">
                  <c:v>80.515932845657531</c:v>
                </c:pt>
                <c:pt idx="866">
                  <c:v>151.31822377748719</c:v>
                </c:pt>
                <c:pt idx="867">
                  <c:v>159.14942216659418</c:v>
                </c:pt>
                <c:pt idx="868">
                  <c:v>110.55458557880428</c:v>
                </c:pt>
                <c:pt idx="869">
                  <c:v>80.100341798172465</c:v>
                </c:pt>
                <c:pt idx="870">
                  <c:v>86.86452098852007</c:v>
                </c:pt>
                <c:pt idx="871">
                  <c:v>78.308729277078925</c:v>
                </c:pt>
                <c:pt idx="872">
                  <c:v>119.55658126224571</c:v>
                </c:pt>
                <c:pt idx="873">
                  <c:v>88.878652341531051</c:v>
                </c:pt>
                <c:pt idx="874">
                  <c:v>80.557875173222783</c:v>
                </c:pt>
                <c:pt idx="875">
                  <c:v>83.693351769982229</c:v>
                </c:pt>
                <c:pt idx="876">
                  <c:v>79.704199459807811</c:v>
                </c:pt>
                <c:pt idx="877">
                  <c:v>164.28426624865921</c:v>
                </c:pt>
                <c:pt idx="878">
                  <c:v>112.67252711523184</c:v>
                </c:pt>
                <c:pt idx="879">
                  <c:v>80.154765653370873</c:v>
                </c:pt>
                <c:pt idx="880">
                  <c:v>79.880326229684869</c:v>
                </c:pt>
                <c:pt idx="881">
                  <c:v>93.399021227037537</c:v>
                </c:pt>
                <c:pt idx="882">
                  <c:v>125.87855761330687</c:v>
                </c:pt>
                <c:pt idx="883">
                  <c:v>90.307285549209226</c:v>
                </c:pt>
                <c:pt idx="884">
                  <c:v>101.71852122909598</c:v>
                </c:pt>
                <c:pt idx="885">
                  <c:v>117.40157207689009</c:v>
                </c:pt>
                <c:pt idx="886">
                  <c:v>79.953497227291479</c:v>
                </c:pt>
                <c:pt idx="887">
                  <c:v>111.47937421158737</c:v>
                </c:pt>
                <c:pt idx="888">
                  <c:v>88.368399875934628</c:v>
                </c:pt>
                <c:pt idx="889">
                  <c:v>97.967055733087278</c:v>
                </c:pt>
                <c:pt idx="890">
                  <c:v>81.075125865382887</c:v>
                </c:pt>
                <c:pt idx="891">
                  <c:v>107.9921425477755</c:v>
                </c:pt>
                <c:pt idx="892">
                  <c:v>80.270187522727653</c:v>
                </c:pt>
                <c:pt idx="893">
                  <c:v>107.79098177397985</c:v>
                </c:pt>
                <c:pt idx="894">
                  <c:v>81.423131859272402</c:v>
                </c:pt>
                <c:pt idx="895">
                  <c:v>87.415619222400466</c:v>
                </c:pt>
                <c:pt idx="896">
                  <c:v>80.704351767263518</c:v>
                </c:pt>
                <c:pt idx="897">
                  <c:v>80.428701442164495</c:v>
                </c:pt>
                <c:pt idx="898">
                  <c:v>109.44747736015447</c:v>
                </c:pt>
                <c:pt idx="899">
                  <c:v>92.855618096438207</c:v>
                </c:pt>
                <c:pt idx="900">
                  <c:v>111.232713436398</c:v>
                </c:pt>
                <c:pt idx="901">
                  <c:v>205.61042619596958</c:v>
                </c:pt>
                <c:pt idx="902">
                  <c:v>131.63622061011421</c:v>
                </c:pt>
                <c:pt idx="903">
                  <c:v>102.77768647769268</c:v>
                </c:pt>
                <c:pt idx="904">
                  <c:v>161.07868854288233</c:v>
                </c:pt>
                <c:pt idx="905">
                  <c:v>123.12419572446977</c:v>
                </c:pt>
                <c:pt idx="906">
                  <c:v>81.099555164369761</c:v>
                </c:pt>
                <c:pt idx="907">
                  <c:v>127.24844859049833</c:v>
                </c:pt>
                <c:pt idx="908">
                  <c:v>86.908090537912315</c:v>
                </c:pt>
                <c:pt idx="909">
                  <c:v>114.24863066971736</c:v>
                </c:pt>
                <c:pt idx="910">
                  <c:v>80.291833553440298</c:v>
                </c:pt>
                <c:pt idx="911">
                  <c:v>78.987717750633081</c:v>
                </c:pt>
                <c:pt idx="912">
                  <c:v>88.857804252459132</c:v>
                </c:pt>
                <c:pt idx="913">
                  <c:v>89.820469629494255</c:v>
                </c:pt>
                <c:pt idx="914">
                  <c:v>78.758368311054255</c:v>
                </c:pt>
                <c:pt idx="915">
                  <c:v>88.845149627954584</c:v>
                </c:pt>
                <c:pt idx="916">
                  <c:v>94.777571048576149</c:v>
                </c:pt>
                <c:pt idx="917">
                  <c:v>161.99745342883989</c:v>
                </c:pt>
                <c:pt idx="918">
                  <c:v>90.690582991778442</c:v>
                </c:pt>
                <c:pt idx="919">
                  <c:v>106.83740660664444</c:v>
                </c:pt>
                <c:pt idx="920">
                  <c:v>103.62663550876611</c:v>
                </c:pt>
                <c:pt idx="921">
                  <c:v>147.78001635368599</c:v>
                </c:pt>
                <c:pt idx="922">
                  <c:v>79.889056933193629</c:v>
                </c:pt>
                <c:pt idx="923">
                  <c:v>104.38947075440886</c:v>
                </c:pt>
                <c:pt idx="924">
                  <c:v>131.83939178668226</c:v>
                </c:pt>
                <c:pt idx="925">
                  <c:v>118.20726728083847</c:v>
                </c:pt>
                <c:pt idx="926">
                  <c:v>79.480446012972735</c:v>
                </c:pt>
                <c:pt idx="927">
                  <c:v>98.199739857261136</c:v>
                </c:pt>
                <c:pt idx="928">
                  <c:v>123.27235031552297</c:v>
                </c:pt>
                <c:pt idx="929">
                  <c:v>80.285535253054945</c:v>
                </c:pt>
                <c:pt idx="930">
                  <c:v>104.84070884010858</c:v>
                </c:pt>
                <c:pt idx="931">
                  <c:v>91.543264362778089</c:v>
                </c:pt>
                <c:pt idx="932">
                  <c:v>107.52624473685277</c:v>
                </c:pt>
                <c:pt idx="933">
                  <c:v>135.18854531435235</c:v>
                </c:pt>
                <c:pt idx="934">
                  <c:v>79.927805138042473</c:v>
                </c:pt>
                <c:pt idx="935">
                  <c:v>111.37429822086817</c:v>
                </c:pt>
                <c:pt idx="936">
                  <c:v>114.39294588714078</c:v>
                </c:pt>
                <c:pt idx="937">
                  <c:v>109.49544522224126</c:v>
                </c:pt>
                <c:pt idx="938">
                  <c:v>121.67719361446804</c:v>
                </c:pt>
                <c:pt idx="939">
                  <c:v>120.88963938942761</c:v>
                </c:pt>
                <c:pt idx="940">
                  <c:v>100.26558344776525</c:v>
                </c:pt>
                <c:pt idx="941">
                  <c:v>128.26116790621978</c:v>
                </c:pt>
                <c:pt idx="942">
                  <c:v>125.75197113024711</c:v>
                </c:pt>
                <c:pt idx="943">
                  <c:v>91.756573868645702</c:v>
                </c:pt>
                <c:pt idx="944">
                  <c:v>100.90332248713469</c:v>
                </c:pt>
                <c:pt idx="945">
                  <c:v>83.331555396201693</c:v>
                </c:pt>
                <c:pt idx="946">
                  <c:v>85.572697506864557</c:v>
                </c:pt>
                <c:pt idx="947">
                  <c:v>83.485246913634725</c:v>
                </c:pt>
                <c:pt idx="948">
                  <c:v>121.04738817094305</c:v>
                </c:pt>
                <c:pt idx="949">
                  <c:v>81.961721172243273</c:v>
                </c:pt>
                <c:pt idx="950">
                  <c:v>110.17730322379944</c:v>
                </c:pt>
                <c:pt idx="951">
                  <c:v>79.025400998711405</c:v>
                </c:pt>
                <c:pt idx="952">
                  <c:v>80.46790933882771</c:v>
                </c:pt>
                <c:pt idx="953">
                  <c:v>132.23760202078759</c:v>
                </c:pt>
                <c:pt idx="954">
                  <c:v>125.64322845631604</c:v>
                </c:pt>
                <c:pt idx="955">
                  <c:v>120.07020001389165</c:v>
                </c:pt>
                <c:pt idx="956">
                  <c:v>102.06349873082205</c:v>
                </c:pt>
                <c:pt idx="957">
                  <c:v>84.51667543392503</c:v>
                </c:pt>
                <c:pt idx="958">
                  <c:v>137.00760257465441</c:v>
                </c:pt>
                <c:pt idx="959">
                  <c:v>97.500360703109152</c:v>
                </c:pt>
                <c:pt idx="960">
                  <c:v>120.78634371897684</c:v>
                </c:pt>
                <c:pt idx="961">
                  <c:v>92.60976125952844</c:v>
                </c:pt>
                <c:pt idx="962">
                  <c:v>98.927075255128955</c:v>
                </c:pt>
                <c:pt idx="963">
                  <c:v>105.13346229516799</c:v>
                </c:pt>
                <c:pt idx="964">
                  <c:v>79.368072325000128</c:v>
                </c:pt>
                <c:pt idx="965">
                  <c:v>117.82326219906022</c:v>
                </c:pt>
                <c:pt idx="966">
                  <c:v>119.43369944186522</c:v>
                </c:pt>
                <c:pt idx="967">
                  <c:v>152.10466117532218</c:v>
                </c:pt>
                <c:pt idx="968">
                  <c:v>124.17880803777217</c:v>
                </c:pt>
                <c:pt idx="969">
                  <c:v>102.16078146011405</c:v>
                </c:pt>
                <c:pt idx="970">
                  <c:v>95.122770816948687</c:v>
                </c:pt>
                <c:pt idx="971">
                  <c:v>106.03333870383936</c:v>
                </c:pt>
                <c:pt idx="972">
                  <c:v>103.44831849410809</c:v>
                </c:pt>
                <c:pt idx="973">
                  <c:v>118.42952242057999</c:v>
                </c:pt>
                <c:pt idx="974">
                  <c:v>79.995877118736885</c:v>
                </c:pt>
                <c:pt idx="975">
                  <c:v>79.90351032187813</c:v>
                </c:pt>
                <c:pt idx="976">
                  <c:v>101.57766647861281</c:v>
                </c:pt>
                <c:pt idx="977">
                  <c:v>84.695827956961125</c:v>
                </c:pt>
                <c:pt idx="978">
                  <c:v>120.73456163513113</c:v>
                </c:pt>
                <c:pt idx="979">
                  <c:v>118.73439151436084</c:v>
                </c:pt>
                <c:pt idx="980">
                  <c:v>165.35138563829162</c:v>
                </c:pt>
                <c:pt idx="981">
                  <c:v>97.674655250550288</c:v>
                </c:pt>
                <c:pt idx="982">
                  <c:v>89.507601505615227</c:v>
                </c:pt>
                <c:pt idx="983">
                  <c:v>92.201152466580169</c:v>
                </c:pt>
                <c:pt idx="984">
                  <c:v>151.11115445080247</c:v>
                </c:pt>
                <c:pt idx="985">
                  <c:v>107.56902825769062</c:v>
                </c:pt>
                <c:pt idx="986">
                  <c:v>78.732267412989756</c:v>
                </c:pt>
                <c:pt idx="987">
                  <c:v>110.5033837241932</c:v>
                </c:pt>
                <c:pt idx="988">
                  <c:v>211.09241392438602</c:v>
                </c:pt>
                <c:pt idx="989">
                  <c:v>109.7305832065816</c:v>
                </c:pt>
                <c:pt idx="990">
                  <c:v>90.706127722188057</c:v>
                </c:pt>
                <c:pt idx="991">
                  <c:v>87.944784711247749</c:v>
                </c:pt>
                <c:pt idx="992">
                  <c:v>114.46640946291157</c:v>
                </c:pt>
                <c:pt idx="993">
                  <c:v>95.131850359835937</c:v>
                </c:pt>
                <c:pt idx="994">
                  <c:v>79.57583170429838</c:v>
                </c:pt>
                <c:pt idx="995">
                  <c:v>189.47739580598451</c:v>
                </c:pt>
                <c:pt idx="996">
                  <c:v>102.58970612681686</c:v>
                </c:pt>
                <c:pt idx="997">
                  <c:v>97.443485393739081</c:v>
                </c:pt>
                <c:pt idx="998">
                  <c:v>80.521300531214308</c:v>
                </c:pt>
                <c:pt idx="999">
                  <c:v>85.146736056747486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75-4E65-8509-9EBD5B0ED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33376"/>
        <c:axId val="971725888"/>
      </c:lineChart>
      <c:catAx>
        <c:axId val="969033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1725888"/>
        <c:crosses val="autoZero"/>
        <c:auto val="1"/>
        <c:lblAlgn val="ctr"/>
        <c:lblOffset val="100"/>
        <c:noMultiLvlLbl val="0"/>
      </c:catAx>
      <c:valAx>
        <c:axId val="97172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03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 baseline="0"/>
              <a:t>REPARTITION DE LA VALEUR DU</a:t>
            </a:r>
          </a:p>
          <a:p>
            <a:pPr>
              <a:defRPr/>
            </a:pPr>
            <a:r>
              <a:rPr lang="fr-FR" b="1" baseline="0"/>
              <a:t> PORTEFEUILLE </a:t>
            </a:r>
          </a:p>
          <a:p>
            <a:pPr>
              <a:defRPr/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2060"/>
            </a:solidFill>
          </c:spPr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5C-4EAA-B671-813D00C83F11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B1-4F38-A81E-1AB701B9B99F}"/>
              </c:ext>
            </c:extLst>
          </c:dPt>
          <c:dLbls>
            <c:dLbl>
              <c:idx val="0"/>
              <c:layout>
                <c:manualLayout>
                  <c:x val="7.2906824146981627E-3"/>
                  <c:y val="-0.16024847855556518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5C-4EAA-B671-813D00C83F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 CPPI'!$C$5:$C$6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C-4EAA-B671-813D00C83F1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</a:t>
            </a:r>
            <a:r>
              <a:rPr lang="fr-FR" baseline="0"/>
              <a:t> de la valeur du portefeuille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val>
            <c:numRef>
              <c:f>' CPPI'!$F$2:$F$1001</c:f>
              <c:numCache>
                <c:formatCode>0.00</c:formatCode>
                <c:ptCount val="1000"/>
                <c:pt idx="0">
                  <c:v>149.21972164940044</c:v>
                </c:pt>
                <c:pt idx="1">
                  <c:v>103.14918055601952</c:v>
                </c:pt>
                <c:pt idx="2">
                  <c:v>138.42050685647428</c:v>
                </c:pt>
                <c:pt idx="3">
                  <c:v>91.767618785522927</c:v>
                </c:pt>
                <c:pt idx="4">
                  <c:v>87.096993814834917</c:v>
                </c:pt>
                <c:pt idx="5">
                  <c:v>114.97508721770112</c:v>
                </c:pt>
                <c:pt idx="6">
                  <c:v>173.64793388987772</c:v>
                </c:pt>
                <c:pt idx="7">
                  <c:v>114.50873323201272</c:v>
                </c:pt>
                <c:pt idx="8">
                  <c:v>101.64508670082526</c:v>
                </c:pt>
                <c:pt idx="9">
                  <c:v>90.28110082493032</c:v>
                </c:pt>
                <c:pt idx="10">
                  <c:v>90.90323797278927</c:v>
                </c:pt>
                <c:pt idx="11">
                  <c:v>91.755486175166794</c:v>
                </c:pt>
                <c:pt idx="12">
                  <c:v>84.718923090110863</c:v>
                </c:pt>
                <c:pt idx="13">
                  <c:v>151.47818931235651</c:v>
                </c:pt>
                <c:pt idx="14">
                  <c:v>92.611458548984018</c:v>
                </c:pt>
                <c:pt idx="15">
                  <c:v>85.635012979809616</c:v>
                </c:pt>
                <c:pt idx="16">
                  <c:v>87.953207436691741</c:v>
                </c:pt>
                <c:pt idx="17">
                  <c:v>140.88780471165472</c:v>
                </c:pt>
                <c:pt idx="18">
                  <c:v>106.91019704651264</c:v>
                </c:pt>
                <c:pt idx="19">
                  <c:v>91.418005112157715</c:v>
                </c:pt>
                <c:pt idx="20">
                  <c:v>126.26362949473878</c:v>
                </c:pt>
                <c:pt idx="21">
                  <c:v>85.935841540248944</c:v>
                </c:pt>
                <c:pt idx="22">
                  <c:v>103.71555842839672</c:v>
                </c:pt>
                <c:pt idx="23">
                  <c:v>86.592789327045125</c:v>
                </c:pt>
                <c:pt idx="24">
                  <c:v>148.26053416509251</c:v>
                </c:pt>
                <c:pt idx="25">
                  <c:v>134.77054785566048</c:v>
                </c:pt>
                <c:pt idx="26">
                  <c:v>148.8554426732365</c:v>
                </c:pt>
                <c:pt idx="27">
                  <c:v>344.70164153597761</c:v>
                </c:pt>
                <c:pt idx="28">
                  <c:v>86.186346046432675</c:v>
                </c:pt>
                <c:pt idx="29">
                  <c:v>81.773975373239253</c:v>
                </c:pt>
                <c:pt idx="30">
                  <c:v>92.519307312380164</c:v>
                </c:pt>
                <c:pt idx="31">
                  <c:v>115.32952356074635</c:v>
                </c:pt>
                <c:pt idx="32">
                  <c:v>90.070432563452997</c:v>
                </c:pt>
                <c:pt idx="33">
                  <c:v>90.759591739725806</c:v>
                </c:pt>
                <c:pt idx="34">
                  <c:v>89.20622172517821</c:v>
                </c:pt>
                <c:pt idx="35">
                  <c:v>89.769992077006236</c:v>
                </c:pt>
                <c:pt idx="36">
                  <c:v>87.893839185611895</c:v>
                </c:pt>
                <c:pt idx="37">
                  <c:v>116.37237026950183</c:v>
                </c:pt>
                <c:pt idx="38">
                  <c:v>134.64878998837202</c:v>
                </c:pt>
                <c:pt idx="39">
                  <c:v>83.671383921088449</c:v>
                </c:pt>
                <c:pt idx="40">
                  <c:v>103.51046235916218</c:v>
                </c:pt>
                <c:pt idx="41">
                  <c:v>83.460148791204077</c:v>
                </c:pt>
                <c:pt idx="42">
                  <c:v>85.543455415865878</c:v>
                </c:pt>
                <c:pt idx="43">
                  <c:v>99.153785920357407</c:v>
                </c:pt>
                <c:pt idx="44">
                  <c:v>95.191558243538239</c:v>
                </c:pt>
                <c:pt idx="45">
                  <c:v>123.74896757015549</c:v>
                </c:pt>
                <c:pt idx="46">
                  <c:v>82.052667660319955</c:v>
                </c:pt>
                <c:pt idx="47">
                  <c:v>139.22776373031905</c:v>
                </c:pt>
                <c:pt idx="48">
                  <c:v>81.81521725736792</c:v>
                </c:pt>
                <c:pt idx="49">
                  <c:v>106.0570051095636</c:v>
                </c:pt>
                <c:pt idx="50">
                  <c:v>93.997723086531465</c:v>
                </c:pt>
                <c:pt idx="51">
                  <c:v>127.38987764173575</c:v>
                </c:pt>
                <c:pt idx="52">
                  <c:v>657.85655124011055</c:v>
                </c:pt>
                <c:pt idx="53">
                  <c:v>85.698189747980479</c:v>
                </c:pt>
                <c:pt idx="54">
                  <c:v>126.32049177395264</c:v>
                </c:pt>
                <c:pt idx="55">
                  <c:v>84.587358776083732</c:v>
                </c:pt>
                <c:pt idx="56">
                  <c:v>88.956586862836645</c:v>
                </c:pt>
                <c:pt idx="57">
                  <c:v>91.3564291524373</c:v>
                </c:pt>
                <c:pt idx="58">
                  <c:v>141.79973022425733</c:v>
                </c:pt>
                <c:pt idx="59">
                  <c:v>159.08165080480035</c:v>
                </c:pt>
                <c:pt idx="60">
                  <c:v>85.722492107272728</c:v>
                </c:pt>
                <c:pt idx="61">
                  <c:v>81.415433773824944</c:v>
                </c:pt>
                <c:pt idx="62">
                  <c:v>142.21159879527687</c:v>
                </c:pt>
                <c:pt idx="63">
                  <c:v>111.93141260996686</c:v>
                </c:pt>
                <c:pt idx="64">
                  <c:v>83.339641067526998</c:v>
                </c:pt>
                <c:pt idx="65">
                  <c:v>86.753260081123145</c:v>
                </c:pt>
                <c:pt idx="66">
                  <c:v>114.43232956028231</c:v>
                </c:pt>
                <c:pt idx="67">
                  <c:v>84.306413486810641</c:v>
                </c:pt>
                <c:pt idx="68">
                  <c:v>88.662520460100055</c:v>
                </c:pt>
                <c:pt idx="69">
                  <c:v>90.199668372467912</c:v>
                </c:pt>
                <c:pt idx="70">
                  <c:v>208.63885324187567</c:v>
                </c:pt>
                <c:pt idx="71">
                  <c:v>83.375833684085009</c:v>
                </c:pt>
                <c:pt idx="72">
                  <c:v>253.71422767069282</c:v>
                </c:pt>
                <c:pt idx="73">
                  <c:v>84.428649330836706</c:v>
                </c:pt>
                <c:pt idx="74">
                  <c:v>90.793065428231557</c:v>
                </c:pt>
                <c:pt idx="75">
                  <c:v>81.712113097945547</c:v>
                </c:pt>
                <c:pt idx="76">
                  <c:v>94.483274422918385</c:v>
                </c:pt>
                <c:pt idx="77">
                  <c:v>85.045351408792612</c:v>
                </c:pt>
                <c:pt idx="78">
                  <c:v>99.300647122570339</c:v>
                </c:pt>
                <c:pt idx="79">
                  <c:v>82.384606708534733</c:v>
                </c:pt>
                <c:pt idx="80">
                  <c:v>82.913378820270822</c:v>
                </c:pt>
                <c:pt idx="81">
                  <c:v>93.232822431953437</c:v>
                </c:pt>
                <c:pt idx="82">
                  <c:v>101.67956706042871</c:v>
                </c:pt>
                <c:pt idx="83">
                  <c:v>114.53499893236777</c:v>
                </c:pt>
                <c:pt idx="84">
                  <c:v>122.69873650464102</c:v>
                </c:pt>
                <c:pt idx="85">
                  <c:v>85.182751550672094</c:v>
                </c:pt>
                <c:pt idx="86">
                  <c:v>85.341892233019593</c:v>
                </c:pt>
                <c:pt idx="87">
                  <c:v>131.05697058220323</c:v>
                </c:pt>
                <c:pt idx="88">
                  <c:v>92.309685968788841</c:v>
                </c:pt>
                <c:pt idx="89">
                  <c:v>127.8381329973968</c:v>
                </c:pt>
                <c:pt idx="90">
                  <c:v>91.593284317529495</c:v>
                </c:pt>
                <c:pt idx="91">
                  <c:v>102.28633671717029</c:v>
                </c:pt>
                <c:pt idx="92">
                  <c:v>91.96624536712531</c:v>
                </c:pt>
                <c:pt idx="93">
                  <c:v>116.38448404272913</c:v>
                </c:pt>
                <c:pt idx="94">
                  <c:v>81.113351240326423</c:v>
                </c:pt>
                <c:pt idx="95">
                  <c:v>90.281151125116395</c:v>
                </c:pt>
                <c:pt idx="96">
                  <c:v>83.429788558441587</c:v>
                </c:pt>
                <c:pt idx="97">
                  <c:v>81.444005116896136</c:v>
                </c:pt>
                <c:pt idx="98">
                  <c:v>82.084212766425637</c:v>
                </c:pt>
                <c:pt idx="99">
                  <c:v>100.20359115270762</c:v>
                </c:pt>
                <c:pt idx="100">
                  <c:v>220.98484274140696</c:v>
                </c:pt>
                <c:pt idx="101">
                  <c:v>93.405961240980929</c:v>
                </c:pt>
                <c:pt idx="102">
                  <c:v>89.533672780000245</c:v>
                </c:pt>
                <c:pt idx="103">
                  <c:v>89.132409543862593</c:v>
                </c:pt>
                <c:pt idx="104">
                  <c:v>86.118393048835799</c:v>
                </c:pt>
                <c:pt idx="105">
                  <c:v>105.3921360905216</c:v>
                </c:pt>
                <c:pt idx="106">
                  <c:v>132.04525663578988</c:v>
                </c:pt>
                <c:pt idx="107">
                  <c:v>85.116864037702641</c:v>
                </c:pt>
                <c:pt idx="108">
                  <c:v>192.38288924869133</c:v>
                </c:pt>
                <c:pt idx="109">
                  <c:v>92.647324803178321</c:v>
                </c:pt>
                <c:pt idx="110">
                  <c:v>129.57128948007892</c:v>
                </c:pt>
                <c:pt idx="111">
                  <c:v>84.101565824194395</c:v>
                </c:pt>
                <c:pt idx="112">
                  <c:v>119.97225141000477</c:v>
                </c:pt>
                <c:pt idx="113">
                  <c:v>100.81250499177168</c:v>
                </c:pt>
                <c:pt idx="114">
                  <c:v>132.24206230804504</c:v>
                </c:pt>
                <c:pt idx="115">
                  <c:v>261.98455968194401</c:v>
                </c:pt>
                <c:pt idx="116">
                  <c:v>87.548274885088261</c:v>
                </c:pt>
                <c:pt idx="117">
                  <c:v>90.081880134953337</c:v>
                </c:pt>
                <c:pt idx="118">
                  <c:v>93.231323832112196</c:v>
                </c:pt>
                <c:pt idx="119">
                  <c:v>153.29821063352875</c:v>
                </c:pt>
                <c:pt idx="120">
                  <c:v>90.635194111353997</c:v>
                </c:pt>
                <c:pt idx="121">
                  <c:v>85.261855183569452</c:v>
                </c:pt>
                <c:pt idx="122">
                  <c:v>120.85931520623058</c:v>
                </c:pt>
                <c:pt idx="123">
                  <c:v>94.465505871820312</c:v>
                </c:pt>
                <c:pt idx="124">
                  <c:v>88.39989331654391</c:v>
                </c:pt>
                <c:pt idx="125">
                  <c:v>95.634098628906457</c:v>
                </c:pt>
                <c:pt idx="126">
                  <c:v>96.07042509428554</c:v>
                </c:pt>
                <c:pt idx="127">
                  <c:v>94.411545973356752</c:v>
                </c:pt>
                <c:pt idx="128">
                  <c:v>99.316423065082517</c:v>
                </c:pt>
                <c:pt idx="129">
                  <c:v>119.43104610613966</c:v>
                </c:pt>
                <c:pt idx="130">
                  <c:v>88.083518554082403</c:v>
                </c:pt>
                <c:pt idx="131">
                  <c:v>94.166065258700186</c:v>
                </c:pt>
                <c:pt idx="132">
                  <c:v>125.13069592542988</c:v>
                </c:pt>
                <c:pt idx="133">
                  <c:v>120.44546688627223</c:v>
                </c:pt>
                <c:pt idx="134">
                  <c:v>96.775630020333537</c:v>
                </c:pt>
                <c:pt idx="135">
                  <c:v>140.14923857939732</c:v>
                </c:pt>
                <c:pt idx="136">
                  <c:v>89.148106684318719</c:v>
                </c:pt>
                <c:pt idx="137">
                  <c:v>83.58834755763813</c:v>
                </c:pt>
                <c:pt idx="138">
                  <c:v>84.455706537456649</c:v>
                </c:pt>
                <c:pt idx="139">
                  <c:v>130.81663121675564</c:v>
                </c:pt>
                <c:pt idx="140">
                  <c:v>159.14487709664911</c:v>
                </c:pt>
                <c:pt idx="141">
                  <c:v>109.7125349821132</c:v>
                </c:pt>
                <c:pt idx="142">
                  <c:v>81.701183427139597</c:v>
                </c:pt>
                <c:pt idx="143">
                  <c:v>102.09690933212981</c:v>
                </c:pt>
                <c:pt idx="144">
                  <c:v>87.574445382517226</c:v>
                </c:pt>
                <c:pt idx="145">
                  <c:v>103.78593487084147</c:v>
                </c:pt>
                <c:pt idx="146">
                  <c:v>101.7795637601135</c:v>
                </c:pt>
                <c:pt idx="147">
                  <c:v>97.798744018834029</c:v>
                </c:pt>
                <c:pt idx="148">
                  <c:v>87.170884871264008</c:v>
                </c:pt>
                <c:pt idx="149">
                  <c:v>95.956206040742188</c:v>
                </c:pt>
                <c:pt idx="150">
                  <c:v>135.37909901281114</c:v>
                </c:pt>
                <c:pt idx="151">
                  <c:v>87.158851192109807</c:v>
                </c:pt>
                <c:pt idx="152">
                  <c:v>132.77084459635614</c:v>
                </c:pt>
                <c:pt idx="153">
                  <c:v>108.14762343262896</c:v>
                </c:pt>
                <c:pt idx="154">
                  <c:v>90.129582472712769</c:v>
                </c:pt>
                <c:pt idx="155">
                  <c:v>105.43385996392863</c:v>
                </c:pt>
                <c:pt idx="156">
                  <c:v>83.730862184711341</c:v>
                </c:pt>
                <c:pt idx="157">
                  <c:v>81.062865563642347</c:v>
                </c:pt>
                <c:pt idx="158">
                  <c:v>183.70450785033256</c:v>
                </c:pt>
                <c:pt idx="159">
                  <c:v>81.456029760176961</c:v>
                </c:pt>
                <c:pt idx="160">
                  <c:v>177.04018070841516</c:v>
                </c:pt>
                <c:pt idx="161">
                  <c:v>95.679736422870278</c:v>
                </c:pt>
                <c:pt idx="162">
                  <c:v>122.02495702602322</c:v>
                </c:pt>
                <c:pt idx="163">
                  <c:v>83.89540906982819</c:v>
                </c:pt>
                <c:pt idx="164">
                  <c:v>98.067525385434692</c:v>
                </c:pt>
                <c:pt idx="165">
                  <c:v>82.168167008910132</c:v>
                </c:pt>
                <c:pt idx="166">
                  <c:v>100.35734534906234</c:v>
                </c:pt>
                <c:pt idx="167">
                  <c:v>85.307763767725504</c:v>
                </c:pt>
                <c:pt idx="168">
                  <c:v>97.474091344471987</c:v>
                </c:pt>
                <c:pt idx="169">
                  <c:v>136.93124824457556</c:v>
                </c:pt>
                <c:pt idx="170">
                  <c:v>118.31079128626544</c:v>
                </c:pt>
                <c:pt idx="171">
                  <c:v>166.97738445718363</c:v>
                </c:pt>
                <c:pt idx="172">
                  <c:v>96.504342895588948</c:v>
                </c:pt>
                <c:pt idx="173">
                  <c:v>113.63628784360739</c:v>
                </c:pt>
                <c:pt idx="174">
                  <c:v>87.468663273529046</c:v>
                </c:pt>
                <c:pt idx="175">
                  <c:v>87.979169669350682</c:v>
                </c:pt>
                <c:pt idx="176">
                  <c:v>88.40270544192316</c:v>
                </c:pt>
                <c:pt idx="177">
                  <c:v>99.003766059939281</c:v>
                </c:pt>
                <c:pt idx="178">
                  <c:v>83.489949808022416</c:v>
                </c:pt>
                <c:pt idx="179">
                  <c:v>99.978655003560789</c:v>
                </c:pt>
                <c:pt idx="180">
                  <c:v>83.743118057296442</c:v>
                </c:pt>
                <c:pt idx="181">
                  <c:v>156.99439475185326</c:v>
                </c:pt>
                <c:pt idx="182">
                  <c:v>141.04205851750237</c:v>
                </c:pt>
                <c:pt idx="183">
                  <c:v>92.363407748721812</c:v>
                </c:pt>
                <c:pt idx="184">
                  <c:v>107.17824564810211</c:v>
                </c:pt>
                <c:pt idx="185">
                  <c:v>112.27080676935302</c:v>
                </c:pt>
                <c:pt idx="186">
                  <c:v>160.35576689979118</c:v>
                </c:pt>
                <c:pt idx="187">
                  <c:v>88.433461087827155</c:v>
                </c:pt>
                <c:pt idx="188">
                  <c:v>111.3944369473132</c:v>
                </c:pt>
                <c:pt idx="189">
                  <c:v>102.17545842593761</c:v>
                </c:pt>
                <c:pt idx="190">
                  <c:v>336.44110851165294</c:v>
                </c:pt>
                <c:pt idx="191">
                  <c:v>90.72101824619817</c:v>
                </c:pt>
                <c:pt idx="192">
                  <c:v>100.29426666422276</c:v>
                </c:pt>
                <c:pt idx="193">
                  <c:v>93.05924205436952</c:v>
                </c:pt>
                <c:pt idx="194">
                  <c:v>100.21089956444669</c:v>
                </c:pt>
                <c:pt idx="195">
                  <c:v>94.191499917712122</c:v>
                </c:pt>
                <c:pt idx="196">
                  <c:v>88.839479953415889</c:v>
                </c:pt>
                <c:pt idx="197">
                  <c:v>86.589584187200671</c:v>
                </c:pt>
                <c:pt idx="198">
                  <c:v>95.242714979656824</c:v>
                </c:pt>
                <c:pt idx="199">
                  <c:v>86.922872801029143</c:v>
                </c:pt>
                <c:pt idx="200">
                  <c:v>106.50438393238201</c:v>
                </c:pt>
                <c:pt idx="201">
                  <c:v>81.444964324357414</c:v>
                </c:pt>
                <c:pt idx="202">
                  <c:v>115.23420457838985</c:v>
                </c:pt>
                <c:pt idx="203">
                  <c:v>159.96480395517239</c:v>
                </c:pt>
                <c:pt idx="204">
                  <c:v>87.994432635793345</c:v>
                </c:pt>
                <c:pt idx="205">
                  <c:v>82.846173248480923</c:v>
                </c:pt>
                <c:pt idx="206">
                  <c:v>123.01139220834425</c:v>
                </c:pt>
                <c:pt idx="207">
                  <c:v>153.38371387427983</c:v>
                </c:pt>
                <c:pt idx="208">
                  <c:v>91.173606002421039</c:v>
                </c:pt>
                <c:pt idx="209">
                  <c:v>100.45383830050743</c:v>
                </c:pt>
                <c:pt idx="210">
                  <c:v>134.37087200059614</c:v>
                </c:pt>
                <c:pt idx="211">
                  <c:v>93.38919002547749</c:v>
                </c:pt>
                <c:pt idx="212">
                  <c:v>310.26131979084107</c:v>
                </c:pt>
                <c:pt idx="213">
                  <c:v>91.984377453038093</c:v>
                </c:pt>
                <c:pt idx="214">
                  <c:v>108.899950560319</c:v>
                </c:pt>
                <c:pt idx="215">
                  <c:v>85.889627985226554</c:v>
                </c:pt>
                <c:pt idx="216">
                  <c:v>86.921656312752731</c:v>
                </c:pt>
                <c:pt idx="217">
                  <c:v>91.007056194795069</c:v>
                </c:pt>
                <c:pt idx="218">
                  <c:v>87.425872437295624</c:v>
                </c:pt>
                <c:pt idx="219">
                  <c:v>92.066174193588111</c:v>
                </c:pt>
                <c:pt idx="220">
                  <c:v>82.77175023066512</c:v>
                </c:pt>
                <c:pt idx="221">
                  <c:v>119.73196807827821</c:v>
                </c:pt>
                <c:pt idx="222">
                  <c:v>119.95179681406671</c:v>
                </c:pt>
                <c:pt idx="223">
                  <c:v>82.409645212139964</c:v>
                </c:pt>
                <c:pt idx="224">
                  <c:v>98.984893311562288</c:v>
                </c:pt>
                <c:pt idx="225">
                  <c:v>91.451109091670162</c:v>
                </c:pt>
                <c:pt idx="226">
                  <c:v>84.65468537338333</c:v>
                </c:pt>
                <c:pt idx="227">
                  <c:v>83.352871773481638</c:v>
                </c:pt>
                <c:pt idx="228">
                  <c:v>85.5242473575519</c:v>
                </c:pt>
                <c:pt idx="229">
                  <c:v>320.93048308610173</c:v>
                </c:pt>
                <c:pt idx="230">
                  <c:v>83.071058098703887</c:v>
                </c:pt>
                <c:pt idx="231">
                  <c:v>95.184353506391389</c:v>
                </c:pt>
                <c:pt idx="232">
                  <c:v>83.530777307809998</c:v>
                </c:pt>
                <c:pt idx="233">
                  <c:v>93.98424789852811</c:v>
                </c:pt>
                <c:pt idx="234">
                  <c:v>109.56790302806607</c:v>
                </c:pt>
                <c:pt idx="235">
                  <c:v>127.96513955155072</c:v>
                </c:pt>
                <c:pt idx="236">
                  <c:v>96.076733691244954</c:v>
                </c:pt>
                <c:pt idx="237">
                  <c:v>85.553172428324132</c:v>
                </c:pt>
                <c:pt idx="238">
                  <c:v>88.969798786386832</c:v>
                </c:pt>
                <c:pt idx="239">
                  <c:v>98.862497250318569</c:v>
                </c:pt>
                <c:pt idx="240">
                  <c:v>93.131259212480217</c:v>
                </c:pt>
                <c:pt idx="241">
                  <c:v>156.10731801898078</c:v>
                </c:pt>
                <c:pt idx="242">
                  <c:v>161.46366724824099</c:v>
                </c:pt>
                <c:pt idx="243">
                  <c:v>101.78363778294292</c:v>
                </c:pt>
                <c:pt idx="244">
                  <c:v>97.905368989774686</c:v>
                </c:pt>
                <c:pt idx="245">
                  <c:v>98.089314138327893</c:v>
                </c:pt>
                <c:pt idx="246">
                  <c:v>86.485597747843258</c:v>
                </c:pt>
                <c:pt idx="247">
                  <c:v>89.188496233235952</c:v>
                </c:pt>
                <c:pt idx="248">
                  <c:v>87.033983516151878</c:v>
                </c:pt>
                <c:pt idx="249">
                  <c:v>85.40362643727687</c:v>
                </c:pt>
                <c:pt idx="250">
                  <c:v>91.907446124737405</c:v>
                </c:pt>
                <c:pt idx="251">
                  <c:v>96.354798753336979</c:v>
                </c:pt>
                <c:pt idx="252">
                  <c:v>88.374027816530344</c:v>
                </c:pt>
                <c:pt idx="253">
                  <c:v>82.210168224631744</c:v>
                </c:pt>
                <c:pt idx="254">
                  <c:v>103.19129598823748</c:v>
                </c:pt>
                <c:pt idx="255">
                  <c:v>86.599853105726098</c:v>
                </c:pt>
                <c:pt idx="256">
                  <c:v>89.781451496711895</c:v>
                </c:pt>
                <c:pt idx="257">
                  <c:v>118.83047967353559</c:v>
                </c:pt>
                <c:pt idx="258">
                  <c:v>84.810459359313313</c:v>
                </c:pt>
                <c:pt idx="259">
                  <c:v>103.82930679221876</c:v>
                </c:pt>
                <c:pt idx="260">
                  <c:v>81.785753132090676</c:v>
                </c:pt>
                <c:pt idx="261">
                  <c:v>87.319590425851601</c:v>
                </c:pt>
                <c:pt idx="262">
                  <c:v>136.93874935044119</c:v>
                </c:pt>
                <c:pt idx="263">
                  <c:v>85.766067128117697</c:v>
                </c:pt>
                <c:pt idx="264">
                  <c:v>88.450467065451733</c:v>
                </c:pt>
                <c:pt idx="265">
                  <c:v>97.08455921186976</c:v>
                </c:pt>
                <c:pt idx="266">
                  <c:v>142.54433890372272</c:v>
                </c:pt>
                <c:pt idx="267">
                  <c:v>111.89617294868331</c:v>
                </c:pt>
                <c:pt idx="268">
                  <c:v>103.70091826671705</c:v>
                </c:pt>
                <c:pt idx="269">
                  <c:v>142.00432335749028</c:v>
                </c:pt>
                <c:pt idx="270">
                  <c:v>91.921664553293766</c:v>
                </c:pt>
                <c:pt idx="271">
                  <c:v>107.68486726318876</c:v>
                </c:pt>
                <c:pt idx="272">
                  <c:v>90.360652737339294</c:v>
                </c:pt>
                <c:pt idx="273">
                  <c:v>98.180162484600885</c:v>
                </c:pt>
                <c:pt idx="274">
                  <c:v>101.1123957933026</c:v>
                </c:pt>
                <c:pt idx="275">
                  <c:v>129.65130621323556</c:v>
                </c:pt>
                <c:pt idx="276">
                  <c:v>230.64683652466186</c:v>
                </c:pt>
                <c:pt idx="277">
                  <c:v>83.453141969327774</c:v>
                </c:pt>
                <c:pt idx="278">
                  <c:v>84.077514223734696</c:v>
                </c:pt>
                <c:pt idx="279">
                  <c:v>96.041289333461307</c:v>
                </c:pt>
                <c:pt idx="280">
                  <c:v>85.299300826786236</c:v>
                </c:pt>
                <c:pt idx="281">
                  <c:v>81.968113570996238</c:v>
                </c:pt>
                <c:pt idx="282">
                  <c:v>90.755598189527134</c:v>
                </c:pt>
                <c:pt idx="283">
                  <c:v>89.127881210882876</c:v>
                </c:pt>
                <c:pt idx="284">
                  <c:v>89.683148082734178</c:v>
                </c:pt>
                <c:pt idx="285">
                  <c:v>148.18919942893837</c:v>
                </c:pt>
                <c:pt idx="286">
                  <c:v>81.77978398180673</c:v>
                </c:pt>
                <c:pt idx="287">
                  <c:v>83.575633404141797</c:v>
                </c:pt>
                <c:pt idx="288">
                  <c:v>99.631118363025124</c:v>
                </c:pt>
                <c:pt idx="289">
                  <c:v>93.051099606207572</c:v>
                </c:pt>
                <c:pt idx="290">
                  <c:v>115.20799741507457</c:v>
                </c:pt>
                <c:pt idx="291">
                  <c:v>98.176062797143004</c:v>
                </c:pt>
                <c:pt idx="292">
                  <c:v>82.74915065292447</c:v>
                </c:pt>
                <c:pt idx="293">
                  <c:v>89.319496772996018</c:v>
                </c:pt>
                <c:pt idx="294">
                  <c:v>110.82913320034336</c:v>
                </c:pt>
                <c:pt idx="295">
                  <c:v>89.175817265885669</c:v>
                </c:pt>
                <c:pt idx="296">
                  <c:v>91.424574967882421</c:v>
                </c:pt>
                <c:pt idx="297">
                  <c:v>101.32449717395085</c:v>
                </c:pt>
                <c:pt idx="298">
                  <c:v>92.295849320384733</c:v>
                </c:pt>
                <c:pt idx="299">
                  <c:v>103.69130489592524</c:v>
                </c:pt>
                <c:pt idx="300">
                  <c:v>103.73600784325409</c:v>
                </c:pt>
                <c:pt idx="301">
                  <c:v>104.34918640679766</c:v>
                </c:pt>
                <c:pt idx="302">
                  <c:v>102.91029855052881</c:v>
                </c:pt>
                <c:pt idx="303">
                  <c:v>123.48638476656174</c:v>
                </c:pt>
                <c:pt idx="304">
                  <c:v>94.560717307962875</c:v>
                </c:pt>
                <c:pt idx="305">
                  <c:v>86.063780477675863</c:v>
                </c:pt>
                <c:pt idx="306">
                  <c:v>85.038382675536113</c:v>
                </c:pt>
                <c:pt idx="307">
                  <c:v>98.385860474878029</c:v>
                </c:pt>
                <c:pt idx="308">
                  <c:v>92.602326832180225</c:v>
                </c:pt>
                <c:pt idx="309">
                  <c:v>322.56381356061058</c:v>
                </c:pt>
                <c:pt idx="310">
                  <c:v>144.00985517136468</c:v>
                </c:pt>
                <c:pt idx="311">
                  <c:v>88.401389175748875</c:v>
                </c:pt>
                <c:pt idx="312">
                  <c:v>87.952854636641376</c:v>
                </c:pt>
                <c:pt idx="313">
                  <c:v>99.987200064388176</c:v>
                </c:pt>
                <c:pt idx="314">
                  <c:v>90.984900465081651</c:v>
                </c:pt>
                <c:pt idx="315">
                  <c:v>141.36314857508447</c:v>
                </c:pt>
                <c:pt idx="316">
                  <c:v>95.656596079752603</c:v>
                </c:pt>
                <c:pt idx="317">
                  <c:v>93.877419792192939</c:v>
                </c:pt>
                <c:pt idx="318">
                  <c:v>95.869826819116469</c:v>
                </c:pt>
                <c:pt idx="319">
                  <c:v>84.371166787757787</c:v>
                </c:pt>
                <c:pt idx="320">
                  <c:v>90.480963217208824</c:v>
                </c:pt>
                <c:pt idx="321">
                  <c:v>83.231510763360959</c:v>
                </c:pt>
                <c:pt idx="322">
                  <c:v>100.75234266633323</c:v>
                </c:pt>
                <c:pt idx="323">
                  <c:v>89.081363494143176</c:v>
                </c:pt>
                <c:pt idx="324">
                  <c:v>112.99629412131151</c:v>
                </c:pt>
                <c:pt idx="325">
                  <c:v>83.069027461614866</c:v>
                </c:pt>
                <c:pt idx="326">
                  <c:v>97.99063971490321</c:v>
                </c:pt>
                <c:pt idx="327">
                  <c:v>89.453764811134931</c:v>
                </c:pt>
                <c:pt idx="328">
                  <c:v>456.14393716347718</c:v>
                </c:pt>
                <c:pt idx="329">
                  <c:v>83.15281275433172</c:v>
                </c:pt>
                <c:pt idx="330">
                  <c:v>104.66905166612395</c:v>
                </c:pt>
                <c:pt idx="331">
                  <c:v>95.012880400404214</c:v>
                </c:pt>
                <c:pt idx="332">
                  <c:v>116.84027261204919</c:v>
                </c:pt>
                <c:pt idx="333">
                  <c:v>108.97508365843808</c:v>
                </c:pt>
                <c:pt idx="334">
                  <c:v>84.946491796993911</c:v>
                </c:pt>
                <c:pt idx="335">
                  <c:v>137.84960625466653</c:v>
                </c:pt>
                <c:pt idx="336">
                  <c:v>90.459307096878575</c:v>
                </c:pt>
                <c:pt idx="337">
                  <c:v>85.957895884595786</c:v>
                </c:pt>
                <c:pt idx="338">
                  <c:v>104.26016809095859</c:v>
                </c:pt>
                <c:pt idx="339">
                  <c:v>85.755118350264482</c:v>
                </c:pt>
                <c:pt idx="340">
                  <c:v>83.128726860992202</c:v>
                </c:pt>
                <c:pt idx="341">
                  <c:v>83.684568550680069</c:v>
                </c:pt>
                <c:pt idx="342">
                  <c:v>96.129183851090701</c:v>
                </c:pt>
                <c:pt idx="343">
                  <c:v>95.498836358196399</c:v>
                </c:pt>
                <c:pt idx="344">
                  <c:v>95.458414810845653</c:v>
                </c:pt>
                <c:pt idx="345">
                  <c:v>85.898398599116362</c:v>
                </c:pt>
                <c:pt idx="346">
                  <c:v>148.05476083803239</c:v>
                </c:pt>
                <c:pt idx="347">
                  <c:v>198.40842914604048</c:v>
                </c:pt>
                <c:pt idx="348">
                  <c:v>85.686528091632212</c:v>
                </c:pt>
                <c:pt idx="349">
                  <c:v>100.79720430191854</c:v>
                </c:pt>
                <c:pt idx="350">
                  <c:v>104.45010981053647</c:v>
                </c:pt>
                <c:pt idx="351">
                  <c:v>100.63664589644563</c:v>
                </c:pt>
                <c:pt idx="352">
                  <c:v>85.443933992407395</c:v>
                </c:pt>
                <c:pt idx="353">
                  <c:v>97.248590647100642</c:v>
                </c:pt>
                <c:pt idx="354">
                  <c:v>131.56490927993627</c:v>
                </c:pt>
                <c:pt idx="355">
                  <c:v>96.993646592863882</c:v>
                </c:pt>
                <c:pt idx="356">
                  <c:v>108.73071585434559</c:v>
                </c:pt>
                <c:pt idx="357">
                  <c:v>94.336700353321618</c:v>
                </c:pt>
                <c:pt idx="358">
                  <c:v>94.558594183294176</c:v>
                </c:pt>
                <c:pt idx="359">
                  <c:v>221.04313293972473</c:v>
                </c:pt>
                <c:pt idx="360">
                  <c:v>92.657591113944378</c:v>
                </c:pt>
                <c:pt idx="361">
                  <c:v>86.90982140285962</c:v>
                </c:pt>
                <c:pt idx="362">
                  <c:v>94.252118867995847</c:v>
                </c:pt>
                <c:pt idx="363">
                  <c:v>88.97620127848198</c:v>
                </c:pt>
                <c:pt idx="364">
                  <c:v>205.50232336413796</c:v>
                </c:pt>
                <c:pt idx="365">
                  <c:v>85.348681919572655</c:v>
                </c:pt>
                <c:pt idx="366">
                  <c:v>89.86216329549805</c:v>
                </c:pt>
                <c:pt idx="367">
                  <c:v>102.71427955133252</c:v>
                </c:pt>
                <c:pt idx="368">
                  <c:v>81.962073932488906</c:v>
                </c:pt>
                <c:pt idx="369">
                  <c:v>94.116488419346922</c:v>
                </c:pt>
                <c:pt idx="370">
                  <c:v>101.59606361434949</c:v>
                </c:pt>
                <c:pt idx="371">
                  <c:v>108.30684651194949</c:v>
                </c:pt>
                <c:pt idx="372">
                  <c:v>102.60299615120562</c:v>
                </c:pt>
                <c:pt idx="373">
                  <c:v>94.353303966501699</c:v>
                </c:pt>
                <c:pt idx="374">
                  <c:v>115.40664030737268</c:v>
                </c:pt>
                <c:pt idx="375">
                  <c:v>105.9826367648179</c:v>
                </c:pt>
                <c:pt idx="376">
                  <c:v>95.434544600117121</c:v>
                </c:pt>
                <c:pt idx="377">
                  <c:v>100.39337466269691</c:v>
                </c:pt>
                <c:pt idx="378">
                  <c:v>93.09140993049084</c:v>
                </c:pt>
                <c:pt idx="379">
                  <c:v>85.592953757808743</c:v>
                </c:pt>
                <c:pt idx="380">
                  <c:v>89.826282887062689</c:v>
                </c:pt>
                <c:pt idx="381">
                  <c:v>107.66459322013718</c:v>
                </c:pt>
                <c:pt idx="382">
                  <c:v>249.96827924232332</c:v>
                </c:pt>
                <c:pt idx="383">
                  <c:v>91.413621198548213</c:v>
                </c:pt>
                <c:pt idx="384">
                  <c:v>103.44887301918558</c:v>
                </c:pt>
                <c:pt idx="385">
                  <c:v>107.43795303615407</c:v>
                </c:pt>
                <c:pt idx="386">
                  <c:v>94.982014021462149</c:v>
                </c:pt>
                <c:pt idx="387">
                  <c:v>83.035225070493183</c:v>
                </c:pt>
                <c:pt idx="388">
                  <c:v>88.787808044656941</c:v>
                </c:pt>
                <c:pt idx="389">
                  <c:v>116.37880359107534</c:v>
                </c:pt>
                <c:pt idx="390">
                  <c:v>82.395201346907413</c:v>
                </c:pt>
                <c:pt idx="391">
                  <c:v>88.151181547150543</c:v>
                </c:pt>
                <c:pt idx="392">
                  <c:v>96.393095538675425</c:v>
                </c:pt>
                <c:pt idx="393">
                  <c:v>105.74448221019401</c:v>
                </c:pt>
                <c:pt idx="394">
                  <c:v>107.91906988676139</c:v>
                </c:pt>
                <c:pt idx="395">
                  <c:v>127.81866861348294</c:v>
                </c:pt>
                <c:pt idx="396">
                  <c:v>106.42245917161762</c:v>
                </c:pt>
                <c:pt idx="397">
                  <c:v>86.781485317427922</c:v>
                </c:pt>
                <c:pt idx="398">
                  <c:v>83.777963767958397</c:v>
                </c:pt>
                <c:pt idx="399">
                  <c:v>93.75340847235374</c:v>
                </c:pt>
                <c:pt idx="400">
                  <c:v>105.34209591833559</c:v>
                </c:pt>
                <c:pt idx="401">
                  <c:v>87.020173056380116</c:v>
                </c:pt>
                <c:pt idx="402">
                  <c:v>117.2371309733543</c:v>
                </c:pt>
                <c:pt idx="403">
                  <c:v>83.524719139289303</c:v>
                </c:pt>
                <c:pt idx="404">
                  <c:v>115.446163546083</c:v>
                </c:pt>
                <c:pt idx="405">
                  <c:v>129.36130534779448</c:v>
                </c:pt>
                <c:pt idx="406">
                  <c:v>87.231094884730425</c:v>
                </c:pt>
                <c:pt idx="407">
                  <c:v>120.76033695238249</c:v>
                </c:pt>
                <c:pt idx="408">
                  <c:v>238.81930893345418</c:v>
                </c:pt>
                <c:pt idx="409">
                  <c:v>87.241124769978853</c:v>
                </c:pt>
                <c:pt idx="410">
                  <c:v>94.110678038870603</c:v>
                </c:pt>
                <c:pt idx="411">
                  <c:v>83.007565935979159</c:v>
                </c:pt>
                <c:pt idx="412">
                  <c:v>141.99323042735307</c:v>
                </c:pt>
                <c:pt idx="413">
                  <c:v>101.77850609845454</c:v>
                </c:pt>
                <c:pt idx="414">
                  <c:v>149.43463175030681</c:v>
                </c:pt>
                <c:pt idx="415">
                  <c:v>89.924625084963935</c:v>
                </c:pt>
                <c:pt idx="416">
                  <c:v>84.619290155116218</c:v>
                </c:pt>
                <c:pt idx="417">
                  <c:v>102.89819084335979</c:v>
                </c:pt>
                <c:pt idx="418">
                  <c:v>97.441979452273642</c:v>
                </c:pt>
                <c:pt idx="419">
                  <c:v>91.390108391617076</c:v>
                </c:pt>
                <c:pt idx="420">
                  <c:v>90.288950410107731</c:v>
                </c:pt>
                <c:pt idx="421">
                  <c:v>109.36890624398831</c:v>
                </c:pt>
                <c:pt idx="422">
                  <c:v>123.73147055548881</c:v>
                </c:pt>
                <c:pt idx="423">
                  <c:v>96.172600777191604</c:v>
                </c:pt>
                <c:pt idx="424">
                  <c:v>83.890693445251799</c:v>
                </c:pt>
                <c:pt idx="425">
                  <c:v>82.03090429961884</c:v>
                </c:pt>
                <c:pt idx="426">
                  <c:v>98.966293079058985</c:v>
                </c:pt>
                <c:pt idx="427">
                  <c:v>106.47158333133318</c:v>
                </c:pt>
                <c:pt idx="428">
                  <c:v>105.09502875171322</c:v>
                </c:pt>
                <c:pt idx="429">
                  <c:v>111.51525211662727</c:v>
                </c:pt>
                <c:pt idx="430">
                  <c:v>195.887124380578</c:v>
                </c:pt>
                <c:pt idx="431">
                  <c:v>182.16675747633514</c:v>
                </c:pt>
                <c:pt idx="432">
                  <c:v>119.9220273238448</c:v>
                </c:pt>
                <c:pt idx="433">
                  <c:v>167.56076505099412</c:v>
                </c:pt>
                <c:pt idx="434">
                  <c:v>93.723237606264576</c:v>
                </c:pt>
                <c:pt idx="435">
                  <c:v>86.094423807145034</c:v>
                </c:pt>
                <c:pt idx="436">
                  <c:v>117.66994680558635</c:v>
                </c:pt>
                <c:pt idx="437">
                  <c:v>95.741713483920904</c:v>
                </c:pt>
                <c:pt idx="438">
                  <c:v>93.518308043246094</c:v>
                </c:pt>
                <c:pt idx="439">
                  <c:v>118.62749300353667</c:v>
                </c:pt>
                <c:pt idx="440">
                  <c:v>97.803973040018619</c:v>
                </c:pt>
                <c:pt idx="441">
                  <c:v>82.906858120578121</c:v>
                </c:pt>
                <c:pt idx="442">
                  <c:v>151.53602867923752</c:v>
                </c:pt>
                <c:pt idx="443">
                  <c:v>82.24517107480473</c:v>
                </c:pt>
                <c:pt idx="444">
                  <c:v>96.291201788004372</c:v>
                </c:pt>
                <c:pt idx="445">
                  <c:v>90.947218311905502</c:v>
                </c:pt>
                <c:pt idx="446">
                  <c:v>89.86240542695532</c:v>
                </c:pt>
                <c:pt idx="447">
                  <c:v>96.884322206684715</c:v>
                </c:pt>
                <c:pt idx="448">
                  <c:v>185.25912988985317</c:v>
                </c:pt>
                <c:pt idx="449">
                  <c:v>91.90638518643172</c:v>
                </c:pt>
                <c:pt idx="450">
                  <c:v>111.14321466026601</c:v>
                </c:pt>
                <c:pt idx="451">
                  <c:v>177.71736954379017</c:v>
                </c:pt>
                <c:pt idx="452">
                  <c:v>91.414368217045478</c:v>
                </c:pt>
                <c:pt idx="453">
                  <c:v>104.8643755974428</c:v>
                </c:pt>
                <c:pt idx="454">
                  <c:v>97.625561726360502</c:v>
                </c:pt>
                <c:pt idx="455">
                  <c:v>96.093673148444296</c:v>
                </c:pt>
                <c:pt idx="456">
                  <c:v>96.2779063969015</c:v>
                </c:pt>
                <c:pt idx="457">
                  <c:v>86.056606650006131</c:v>
                </c:pt>
                <c:pt idx="458">
                  <c:v>82.555972911417285</c:v>
                </c:pt>
                <c:pt idx="459">
                  <c:v>111.01490178866936</c:v>
                </c:pt>
                <c:pt idx="460">
                  <c:v>85.712963908168817</c:v>
                </c:pt>
                <c:pt idx="461">
                  <c:v>145.9485813752049</c:v>
                </c:pt>
                <c:pt idx="462">
                  <c:v>81.119153614957142</c:v>
                </c:pt>
                <c:pt idx="463">
                  <c:v>83.869648797432362</c:v>
                </c:pt>
                <c:pt idx="464">
                  <c:v>108.97660662354144</c:v>
                </c:pt>
                <c:pt idx="465">
                  <c:v>118.71183228885117</c:v>
                </c:pt>
                <c:pt idx="466">
                  <c:v>89.188543776629444</c:v>
                </c:pt>
                <c:pt idx="467">
                  <c:v>85.896208622350215</c:v>
                </c:pt>
                <c:pt idx="468">
                  <c:v>102.96674306854013</c:v>
                </c:pt>
                <c:pt idx="469">
                  <c:v>82.235884100679769</c:v>
                </c:pt>
                <c:pt idx="470">
                  <c:v>83.578041372177438</c:v>
                </c:pt>
                <c:pt idx="471">
                  <c:v>90.600824412410503</c:v>
                </c:pt>
                <c:pt idx="472">
                  <c:v>84.024499219864026</c:v>
                </c:pt>
                <c:pt idx="473">
                  <c:v>118.57418460087601</c:v>
                </c:pt>
                <c:pt idx="474">
                  <c:v>91.521614901365695</c:v>
                </c:pt>
                <c:pt idx="475">
                  <c:v>83.964512448562616</c:v>
                </c:pt>
                <c:pt idx="476">
                  <c:v>88.633286236293969</c:v>
                </c:pt>
                <c:pt idx="477">
                  <c:v>119.31495235401061</c:v>
                </c:pt>
                <c:pt idx="478">
                  <c:v>84.73623491371427</c:v>
                </c:pt>
                <c:pt idx="479">
                  <c:v>90.194161270383859</c:v>
                </c:pt>
                <c:pt idx="480">
                  <c:v>107.94220477189891</c:v>
                </c:pt>
                <c:pt idx="481">
                  <c:v>117.7563867916173</c:v>
                </c:pt>
                <c:pt idx="482">
                  <c:v>133.99702392747133</c:v>
                </c:pt>
                <c:pt idx="483">
                  <c:v>106.35258666146096</c:v>
                </c:pt>
                <c:pt idx="484">
                  <c:v>108.22075281754361</c:v>
                </c:pt>
                <c:pt idx="485">
                  <c:v>93.874593019485104</c:v>
                </c:pt>
                <c:pt idx="486">
                  <c:v>91.388226034661329</c:v>
                </c:pt>
                <c:pt idx="487">
                  <c:v>83.774813679656987</c:v>
                </c:pt>
                <c:pt idx="488">
                  <c:v>121.92664317268026</c:v>
                </c:pt>
                <c:pt idx="489">
                  <c:v>85.594880140249415</c:v>
                </c:pt>
                <c:pt idx="490">
                  <c:v>265.93541422713616</c:v>
                </c:pt>
                <c:pt idx="491">
                  <c:v>208.75666932985553</c:v>
                </c:pt>
                <c:pt idx="492">
                  <c:v>140.44963538886469</c:v>
                </c:pt>
                <c:pt idx="493">
                  <c:v>86.748560583728704</c:v>
                </c:pt>
                <c:pt idx="494">
                  <c:v>85.024215470406972</c:v>
                </c:pt>
                <c:pt idx="495">
                  <c:v>83.321974059671632</c:v>
                </c:pt>
                <c:pt idx="496">
                  <c:v>80.915903248959879</c:v>
                </c:pt>
                <c:pt idx="497">
                  <c:v>102.36535769730506</c:v>
                </c:pt>
                <c:pt idx="498">
                  <c:v>96.962001156237974</c:v>
                </c:pt>
                <c:pt idx="499">
                  <c:v>126.81939586348906</c:v>
                </c:pt>
                <c:pt idx="500">
                  <c:v>104.5099272934624</c:v>
                </c:pt>
                <c:pt idx="501">
                  <c:v>90.595593457552866</c:v>
                </c:pt>
                <c:pt idx="502">
                  <c:v>95.789097742715683</c:v>
                </c:pt>
                <c:pt idx="503">
                  <c:v>119.27830789915828</c:v>
                </c:pt>
                <c:pt idx="504">
                  <c:v>83.212770574870419</c:v>
                </c:pt>
                <c:pt idx="505">
                  <c:v>84.29006327756241</c:v>
                </c:pt>
                <c:pt idx="506">
                  <c:v>187.1317740831937</c:v>
                </c:pt>
                <c:pt idx="507">
                  <c:v>82.239248522598501</c:v>
                </c:pt>
                <c:pt idx="508">
                  <c:v>137.93376623519822</c:v>
                </c:pt>
                <c:pt idx="509">
                  <c:v>95.297306431774587</c:v>
                </c:pt>
                <c:pt idx="510">
                  <c:v>83.203733176853561</c:v>
                </c:pt>
                <c:pt idx="511">
                  <c:v>87.217320195182765</c:v>
                </c:pt>
                <c:pt idx="512">
                  <c:v>93.291780109499626</c:v>
                </c:pt>
                <c:pt idx="513">
                  <c:v>86.21310584252798</c:v>
                </c:pt>
                <c:pt idx="514">
                  <c:v>92.912574237559511</c:v>
                </c:pt>
                <c:pt idx="515">
                  <c:v>145.79285128762453</c:v>
                </c:pt>
                <c:pt idx="516">
                  <c:v>109.1029613247041</c:v>
                </c:pt>
                <c:pt idx="517">
                  <c:v>94.536117112871594</c:v>
                </c:pt>
                <c:pt idx="518">
                  <c:v>89.553396389097671</c:v>
                </c:pt>
                <c:pt idx="519">
                  <c:v>90.744837159496896</c:v>
                </c:pt>
                <c:pt idx="520">
                  <c:v>85.916574771014098</c:v>
                </c:pt>
                <c:pt idx="521">
                  <c:v>88.264007541946668</c:v>
                </c:pt>
                <c:pt idx="522">
                  <c:v>91.838019322993148</c:v>
                </c:pt>
                <c:pt idx="523">
                  <c:v>86.099707448328786</c:v>
                </c:pt>
                <c:pt idx="524">
                  <c:v>82.267070166713893</c:v>
                </c:pt>
                <c:pt idx="525">
                  <c:v>89.042155665618665</c:v>
                </c:pt>
                <c:pt idx="526">
                  <c:v>113.24050959728417</c:v>
                </c:pt>
                <c:pt idx="527">
                  <c:v>81.428350165664952</c:v>
                </c:pt>
                <c:pt idx="528">
                  <c:v>104.92707720653107</c:v>
                </c:pt>
                <c:pt idx="529">
                  <c:v>154.32848953793646</c:v>
                </c:pt>
                <c:pt idx="530">
                  <c:v>202.15573619523866</c:v>
                </c:pt>
                <c:pt idx="531">
                  <c:v>87.15050032838019</c:v>
                </c:pt>
                <c:pt idx="532">
                  <c:v>85.910971398095725</c:v>
                </c:pt>
                <c:pt idx="533">
                  <c:v>209.99994514672238</c:v>
                </c:pt>
                <c:pt idx="534">
                  <c:v>240.22671592555037</c:v>
                </c:pt>
                <c:pt idx="535">
                  <c:v>113.14704480819309</c:v>
                </c:pt>
                <c:pt idx="536">
                  <c:v>94.004214558129576</c:v>
                </c:pt>
                <c:pt idx="537">
                  <c:v>86.065952613673844</c:v>
                </c:pt>
                <c:pt idx="538">
                  <c:v>92.680462277004864</c:v>
                </c:pt>
                <c:pt idx="539">
                  <c:v>90.598934781960097</c:v>
                </c:pt>
                <c:pt idx="540">
                  <c:v>128.47814794089086</c:v>
                </c:pt>
                <c:pt idx="541">
                  <c:v>101.77903530187058</c:v>
                </c:pt>
                <c:pt idx="542">
                  <c:v>172.20136131300177</c:v>
                </c:pt>
                <c:pt idx="543">
                  <c:v>81.336145969788589</c:v>
                </c:pt>
                <c:pt idx="544">
                  <c:v>86.030191646426474</c:v>
                </c:pt>
                <c:pt idx="545">
                  <c:v>113.7949900706685</c:v>
                </c:pt>
                <c:pt idx="546">
                  <c:v>140.37112858760287</c:v>
                </c:pt>
                <c:pt idx="547">
                  <c:v>95.857628744346428</c:v>
                </c:pt>
                <c:pt idx="548">
                  <c:v>99.723557039176939</c:v>
                </c:pt>
                <c:pt idx="549">
                  <c:v>82.622086259793164</c:v>
                </c:pt>
                <c:pt idx="550">
                  <c:v>89.773754302457974</c:v>
                </c:pt>
                <c:pt idx="551">
                  <c:v>85.270089142477445</c:v>
                </c:pt>
                <c:pt idx="552">
                  <c:v>91.466345716472091</c:v>
                </c:pt>
                <c:pt idx="553">
                  <c:v>90.445516916775034</c:v>
                </c:pt>
                <c:pt idx="554">
                  <c:v>87.993442318914674</c:v>
                </c:pt>
                <c:pt idx="555">
                  <c:v>108.47667089208689</c:v>
                </c:pt>
                <c:pt idx="556">
                  <c:v>102.99210623432097</c:v>
                </c:pt>
                <c:pt idx="557">
                  <c:v>97.221040580516586</c:v>
                </c:pt>
                <c:pt idx="558">
                  <c:v>118.52511052709556</c:v>
                </c:pt>
                <c:pt idx="559">
                  <c:v>109.60916939986659</c:v>
                </c:pt>
                <c:pt idx="560">
                  <c:v>114.65737859081335</c:v>
                </c:pt>
                <c:pt idx="561">
                  <c:v>91.940698969010043</c:v>
                </c:pt>
                <c:pt idx="562">
                  <c:v>119.09247554514583</c:v>
                </c:pt>
                <c:pt idx="563">
                  <c:v>96.012052198335184</c:v>
                </c:pt>
                <c:pt idx="564">
                  <c:v>98.21644573328372</c:v>
                </c:pt>
                <c:pt idx="565">
                  <c:v>97.184211298366193</c:v>
                </c:pt>
                <c:pt idx="566">
                  <c:v>100.46186310246756</c:v>
                </c:pt>
                <c:pt idx="567">
                  <c:v>90.824506766208316</c:v>
                </c:pt>
                <c:pt idx="568">
                  <c:v>91.406392898054463</c:v>
                </c:pt>
                <c:pt idx="569">
                  <c:v>91.96796890329054</c:v>
                </c:pt>
                <c:pt idx="570">
                  <c:v>93.296966257320236</c:v>
                </c:pt>
                <c:pt idx="571">
                  <c:v>90.248232013673544</c:v>
                </c:pt>
                <c:pt idx="572">
                  <c:v>100.3165763061</c:v>
                </c:pt>
                <c:pt idx="573">
                  <c:v>88.618382317399906</c:v>
                </c:pt>
                <c:pt idx="574">
                  <c:v>86.582391661717494</c:v>
                </c:pt>
                <c:pt idx="575">
                  <c:v>90.234403182831741</c:v>
                </c:pt>
                <c:pt idx="576">
                  <c:v>112.55560391626297</c:v>
                </c:pt>
                <c:pt idx="577">
                  <c:v>109.16365304678962</c:v>
                </c:pt>
                <c:pt idx="578">
                  <c:v>102.82825032008881</c:v>
                </c:pt>
                <c:pt idx="579">
                  <c:v>94.741228611997869</c:v>
                </c:pt>
                <c:pt idx="580">
                  <c:v>94.813396407358951</c:v>
                </c:pt>
                <c:pt idx="581">
                  <c:v>93.150520385780112</c:v>
                </c:pt>
                <c:pt idx="582">
                  <c:v>109.99836754372296</c:v>
                </c:pt>
                <c:pt idx="583">
                  <c:v>99.814283016631649</c:v>
                </c:pt>
                <c:pt idx="584">
                  <c:v>124.02554312440503</c:v>
                </c:pt>
                <c:pt idx="585">
                  <c:v>104.99421614025451</c:v>
                </c:pt>
                <c:pt idx="586">
                  <c:v>148.19959341485054</c:v>
                </c:pt>
                <c:pt idx="587">
                  <c:v>88.744509716802</c:v>
                </c:pt>
                <c:pt idx="588">
                  <c:v>159.74739185706756</c:v>
                </c:pt>
                <c:pt idx="589">
                  <c:v>92.659176565288462</c:v>
                </c:pt>
                <c:pt idx="590">
                  <c:v>86.291859366990636</c:v>
                </c:pt>
                <c:pt idx="591">
                  <c:v>91.312921646394614</c:v>
                </c:pt>
                <c:pt idx="592">
                  <c:v>88.097133535331324</c:v>
                </c:pt>
                <c:pt idx="593">
                  <c:v>83.098232397671268</c:v>
                </c:pt>
                <c:pt idx="594">
                  <c:v>88.252555493514919</c:v>
                </c:pt>
                <c:pt idx="595">
                  <c:v>84.595198152642865</c:v>
                </c:pt>
                <c:pt idx="596">
                  <c:v>95.407587998692065</c:v>
                </c:pt>
                <c:pt idx="597">
                  <c:v>138.52272620086453</c:v>
                </c:pt>
                <c:pt idx="598">
                  <c:v>83.77481147292049</c:v>
                </c:pt>
                <c:pt idx="599">
                  <c:v>109.25278952839736</c:v>
                </c:pt>
                <c:pt idx="600">
                  <c:v>86.076925517039143</c:v>
                </c:pt>
                <c:pt idx="601">
                  <c:v>378.8190504079696</c:v>
                </c:pt>
                <c:pt idx="602">
                  <c:v>101.88531203390592</c:v>
                </c:pt>
                <c:pt idx="603">
                  <c:v>84.262458597118638</c:v>
                </c:pt>
                <c:pt idx="604">
                  <c:v>94.08606176071828</c:v>
                </c:pt>
                <c:pt idx="605">
                  <c:v>83.756064887259583</c:v>
                </c:pt>
                <c:pt idx="606">
                  <c:v>84.761000987529513</c:v>
                </c:pt>
                <c:pt idx="607">
                  <c:v>93.20309412535785</c:v>
                </c:pt>
                <c:pt idx="608">
                  <c:v>115.95937591907392</c:v>
                </c:pt>
                <c:pt idx="609">
                  <c:v>112.20366310842311</c:v>
                </c:pt>
                <c:pt idx="610">
                  <c:v>112.78069968950408</c:v>
                </c:pt>
                <c:pt idx="611">
                  <c:v>164.34025468201563</c:v>
                </c:pt>
                <c:pt idx="612">
                  <c:v>89.583178717278088</c:v>
                </c:pt>
                <c:pt idx="613">
                  <c:v>107.82815776021762</c:v>
                </c:pt>
                <c:pt idx="614">
                  <c:v>103.82749029227264</c:v>
                </c:pt>
                <c:pt idx="615">
                  <c:v>93.985466299038208</c:v>
                </c:pt>
                <c:pt idx="616">
                  <c:v>91.595723658718413</c:v>
                </c:pt>
                <c:pt idx="617">
                  <c:v>92.039394894838267</c:v>
                </c:pt>
                <c:pt idx="618">
                  <c:v>114.03544821815771</c:v>
                </c:pt>
                <c:pt idx="619">
                  <c:v>84.038883129119313</c:v>
                </c:pt>
                <c:pt idx="620">
                  <c:v>84.77839801325176</c:v>
                </c:pt>
                <c:pt idx="621">
                  <c:v>114.78765667992172</c:v>
                </c:pt>
                <c:pt idx="622">
                  <c:v>104.42358226422513</c:v>
                </c:pt>
                <c:pt idx="623">
                  <c:v>505.74299757292238</c:v>
                </c:pt>
                <c:pt idx="624">
                  <c:v>86.676450780048995</c:v>
                </c:pt>
                <c:pt idx="625">
                  <c:v>104.0436241894617</c:v>
                </c:pt>
                <c:pt idx="626">
                  <c:v>97.353527541408837</c:v>
                </c:pt>
                <c:pt idx="627">
                  <c:v>140.73627320342902</c:v>
                </c:pt>
                <c:pt idx="628">
                  <c:v>104.19658287704505</c:v>
                </c:pt>
                <c:pt idx="629">
                  <c:v>106.32511528103917</c:v>
                </c:pt>
                <c:pt idx="630">
                  <c:v>175.83650446185132</c:v>
                </c:pt>
                <c:pt idx="631">
                  <c:v>116.02398243030729</c:v>
                </c:pt>
                <c:pt idx="632">
                  <c:v>149.44300334787977</c:v>
                </c:pt>
                <c:pt idx="633">
                  <c:v>134.61966319119526</c:v>
                </c:pt>
                <c:pt idx="634">
                  <c:v>85.863075429598865</c:v>
                </c:pt>
                <c:pt idx="635">
                  <c:v>100.39877853214364</c:v>
                </c:pt>
                <c:pt idx="636">
                  <c:v>85.514767270622968</c:v>
                </c:pt>
                <c:pt idx="637">
                  <c:v>100.11916995800237</c:v>
                </c:pt>
                <c:pt idx="638">
                  <c:v>89.387133574026848</c:v>
                </c:pt>
                <c:pt idx="639">
                  <c:v>89.480864492742882</c:v>
                </c:pt>
                <c:pt idx="640">
                  <c:v>89.026999676966994</c:v>
                </c:pt>
                <c:pt idx="641">
                  <c:v>82.556538788622987</c:v>
                </c:pt>
                <c:pt idx="642">
                  <c:v>99.364792362359267</c:v>
                </c:pt>
                <c:pt idx="643">
                  <c:v>82.704394958294571</c:v>
                </c:pt>
                <c:pt idx="644">
                  <c:v>458.30410080171009</c:v>
                </c:pt>
                <c:pt idx="645">
                  <c:v>90.276348506840677</c:v>
                </c:pt>
                <c:pt idx="646">
                  <c:v>108.02789869465134</c:v>
                </c:pt>
                <c:pt idx="647">
                  <c:v>133.97171667350173</c:v>
                </c:pt>
                <c:pt idx="648">
                  <c:v>83.914309687547927</c:v>
                </c:pt>
                <c:pt idx="649">
                  <c:v>124.71056104220372</c:v>
                </c:pt>
                <c:pt idx="650">
                  <c:v>81.820900218163573</c:v>
                </c:pt>
                <c:pt idx="651">
                  <c:v>118.81378943334805</c:v>
                </c:pt>
                <c:pt idx="652">
                  <c:v>474.90980177320898</c:v>
                </c:pt>
                <c:pt idx="653">
                  <c:v>102.19145822811888</c:v>
                </c:pt>
                <c:pt idx="654">
                  <c:v>96.061531403216492</c:v>
                </c:pt>
                <c:pt idx="655">
                  <c:v>289.71097161560579</c:v>
                </c:pt>
                <c:pt idx="656">
                  <c:v>89.913983443519101</c:v>
                </c:pt>
                <c:pt idx="657">
                  <c:v>96.895331748093469</c:v>
                </c:pt>
                <c:pt idx="658">
                  <c:v>81.404073783758037</c:v>
                </c:pt>
                <c:pt idx="659">
                  <c:v>82.965549335157505</c:v>
                </c:pt>
                <c:pt idx="660">
                  <c:v>120.65921673120491</c:v>
                </c:pt>
                <c:pt idx="661">
                  <c:v>99.10388228115238</c:v>
                </c:pt>
                <c:pt idx="662">
                  <c:v>108.87363816447377</c:v>
                </c:pt>
                <c:pt idx="663">
                  <c:v>119.74181989176169</c:v>
                </c:pt>
                <c:pt idx="664">
                  <c:v>86.168879976183646</c:v>
                </c:pt>
                <c:pt idx="665">
                  <c:v>101.06171176654085</c:v>
                </c:pt>
                <c:pt idx="666">
                  <c:v>92.338481825272481</c:v>
                </c:pt>
                <c:pt idx="667">
                  <c:v>108.30931250683908</c:v>
                </c:pt>
                <c:pt idx="668">
                  <c:v>85.022153366394122</c:v>
                </c:pt>
                <c:pt idx="669">
                  <c:v>116.82791948221617</c:v>
                </c:pt>
                <c:pt idx="670">
                  <c:v>84.316817764417237</c:v>
                </c:pt>
                <c:pt idx="671">
                  <c:v>83.234316387974687</c:v>
                </c:pt>
                <c:pt idx="672">
                  <c:v>102.57105199767085</c:v>
                </c:pt>
                <c:pt idx="673">
                  <c:v>83.377015157527552</c:v>
                </c:pt>
                <c:pt idx="674">
                  <c:v>86.832541985521701</c:v>
                </c:pt>
                <c:pt idx="675">
                  <c:v>85.391076360648398</c:v>
                </c:pt>
                <c:pt idx="676">
                  <c:v>83.226016554355681</c:v>
                </c:pt>
                <c:pt idx="677">
                  <c:v>90.11989640705724</c:v>
                </c:pt>
                <c:pt idx="678">
                  <c:v>100.36649587209654</c:v>
                </c:pt>
                <c:pt idx="679">
                  <c:v>107.86543059716097</c:v>
                </c:pt>
                <c:pt idx="680">
                  <c:v>90.23523194095381</c:v>
                </c:pt>
                <c:pt idx="681">
                  <c:v>85.533771665195417</c:v>
                </c:pt>
                <c:pt idx="682">
                  <c:v>139.02121573707865</c:v>
                </c:pt>
                <c:pt idx="683">
                  <c:v>91.79522634074155</c:v>
                </c:pt>
                <c:pt idx="684">
                  <c:v>88.600961912936384</c:v>
                </c:pt>
                <c:pt idx="685">
                  <c:v>95.548274300826478</c:v>
                </c:pt>
                <c:pt idx="686">
                  <c:v>84.27919740871063</c:v>
                </c:pt>
                <c:pt idx="687">
                  <c:v>159.15725460541634</c:v>
                </c:pt>
                <c:pt idx="688">
                  <c:v>87.381093683423842</c:v>
                </c:pt>
                <c:pt idx="689">
                  <c:v>90.40373340411395</c:v>
                </c:pt>
                <c:pt idx="690">
                  <c:v>91.117162640605812</c:v>
                </c:pt>
                <c:pt idx="691">
                  <c:v>84.015197044695299</c:v>
                </c:pt>
                <c:pt idx="692">
                  <c:v>102.87335987928643</c:v>
                </c:pt>
                <c:pt idx="693">
                  <c:v>96.755703767384304</c:v>
                </c:pt>
                <c:pt idx="694">
                  <c:v>90.654277017537652</c:v>
                </c:pt>
                <c:pt idx="695">
                  <c:v>127.83754897632043</c:v>
                </c:pt>
                <c:pt idx="696">
                  <c:v>110.23352083902236</c:v>
                </c:pt>
                <c:pt idx="697">
                  <c:v>94.129564185740705</c:v>
                </c:pt>
                <c:pt idx="698">
                  <c:v>93.808470291649058</c:v>
                </c:pt>
                <c:pt idx="699">
                  <c:v>88.236003401528677</c:v>
                </c:pt>
                <c:pt idx="700">
                  <c:v>91.897552944394448</c:v>
                </c:pt>
                <c:pt idx="701">
                  <c:v>83.314817019057926</c:v>
                </c:pt>
                <c:pt idx="702">
                  <c:v>95.539786319306984</c:v>
                </c:pt>
                <c:pt idx="703">
                  <c:v>85.048820487139849</c:v>
                </c:pt>
                <c:pt idx="704">
                  <c:v>89.194360814920117</c:v>
                </c:pt>
                <c:pt idx="705">
                  <c:v>87.335113818617742</c:v>
                </c:pt>
                <c:pt idx="706">
                  <c:v>144.97077771679176</c:v>
                </c:pt>
                <c:pt idx="707">
                  <c:v>129.39490098681213</c:v>
                </c:pt>
                <c:pt idx="708">
                  <c:v>116.02091687090549</c:v>
                </c:pt>
                <c:pt idx="709">
                  <c:v>134.41071238739869</c:v>
                </c:pt>
                <c:pt idx="710">
                  <c:v>86.458843114541949</c:v>
                </c:pt>
                <c:pt idx="711">
                  <c:v>106.8873224496384</c:v>
                </c:pt>
                <c:pt idx="712">
                  <c:v>89.279094029400454</c:v>
                </c:pt>
                <c:pt idx="713">
                  <c:v>93.409793594051521</c:v>
                </c:pt>
                <c:pt idx="714">
                  <c:v>168.98977068377832</c:v>
                </c:pt>
                <c:pt idx="715">
                  <c:v>99.629733762388625</c:v>
                </c:pt>
                <c:pt idx="716">
                  <c:v>165.40586304249709</c:v>
                </c:pt>
                <c:pt idx="717">
                  <c:v>112.41229919785697</c:v>
                </c:pt>
                <c:pt idx="718">
                  <c:v>84.74174740769196</c:v>
                </c:pt>
                <c:pt idx="719">
                  <c:v>108.94939573851626</c:v>
                </c:pt>
                <c:pt idx="720">
                  <c:v>123.83768665350951</c:v>
                </c:pt>
                <c:pt idx="721">
                  <c:v>84.217580162463662</c:v>
                </c:pt>
                <c:pt idx="722">
                  <c:v>90.320051819894331</c:v>
                </c:pt>
                <c:pt idx="723">
                  <c:v>91.641633444193104</c:v>
                </c:pt>
                <c:pt idx="724">
                  <c:v>98.513341712867685</c:v>
                </c:pt>
                <c:pt idx="725">
                  <c:v>89.28640656900896</c:v>
                </c:pt>
                <c:pt idx="726">
                  <c:v>264.56922616553857</c:v>
                </c:pt>
                <c:pt idx="727">
                  <c:v>131.6383548131538</c:v>
                </c:pt>
                <c:pt idx="728">
                  <c:v>101.86438692961161</c:v>
                </c:pt>
                <c:pt idx="729">
                  <c:v>96.801979194189727</c:v>
                </c:pt>
                <c:pt idx="730">
                  <c:v>82.313036269697918</c:v>
                </c:pt>
                <c:pt idx="731">
                  <c:v>109.57359896023374</c:v>
                </c:pt>
                <c:pt idx="732">
                  <c:v>87.747673373178557</c:v>
                </c:pt>
                <c:pt idx="733">
                  <c:v>86.866559199537861</c:v>
                </c:pt>
                <c:pt idx="734">
                  <c:v>92.689463360074711</c:v>
                </c:pt>
                <c:pt idx="735">
                  <c:v>92.650211636707439</c:v>
                </c:pt>
                <c:pt idx="736">
                  <c:v>83.12042472416833</c:v>
                </c:pt>
                <c:pt idx="737">
                  <c:v>111.57957858715345</c:v>
                </c:pt>
                <c:pt idx="738">
                  <c:v>124.36185670918202</c:v>
                </c:pt>
                <c:pt idx="739">
                  <c:v>94.531341325651937</c:v>
                </c:pt>
                <c:pt idx="740">
                  <c:v>147.74259556907182</c:v>
                </c:pt>
                <c:pt idx="741">
                  <c:v>106.82443745462407</c:v>
                </c:pt>
                <c:pt idx="742">
                  <c:v>87.087284800464147</c:v>
                </c:pt>
                <c:pt idx="743">
                  <c:v>82.000490941315888</c:v>
                </c:pt>
                <c:pt idx="744">
                  <c:v>83.930517100322831</c:v>
                </c:pt>
                <c:pt idx="745">
                  <c:v>89.285504782064947</c:v>
                </c:pt>
                <c:pt idx="746">
                  <c:v>85.261551383618738</c:v>
                </c:pt>
                <c:pt idx="747">
                  <c:v>83.593878303466198</c:v>
                </c:pt>
                <c:pt idx="748">
                  <c:v>107.27453926413128</c:v>
                </c:pt>
                <c:pt idx="749">
                  <c:v>95.330928053423634</c:v>
                </c:pt>
                <c:pt idx="750">
                  <c:v>107.2004639836224</c:v>
                </c:pt>
                <c:pt idx="751">
                  <c:v>83.290459572965176</c:v>
                </c:pt>
                <c:pt idx="752">
                  <c:v>83.95297399398126</c:v>
                </c:pt>
                <c:pt idx="753">
                  <c:v>101.81416394865563</c:v>
                </c:pt>
                <c:pt idx="754">
                  <c:v>84.934792954455361</c:v>
                </c:pt>
                <c:pt idx="755">
                  <c:v>82.930480893699794</c:v>
                </c:pt>
                <c:pt idx="756">
                  <c:v>104.47465774668954</c:v>
                </c:pt>
                <c:pt idx="757">
                  <c:v>89.354229134660144</c:v>
                </c:pt>
                <c:pt idx="758">
                  <c:v>95.761916311501253</c:v>
                </c:pt>
                <c:pt idx="759">
                  <c:v>88.473531417667544</c:v>
                </c:pt>
                <c:pt idx="760">
                  <c:v>82.677112885766348</c:v>
                </c:pt>
                <c:pt idx="761">
                  <c:v>115.06913693792865</c:v>
                </c:pt>
                <c:pt idx="762">
                  <c:v>126.61237711062432</c:v>
                </c:pt>
                <c:pt idx="763">
                  <c:v>100.36383410072902</c:v>
                </c:pt>
                <c:pt idx="764">
                  <c:v>107.79431870173742</c:v>
                </c:pt>
                <c:pt idx="765">
                  <c:v>123.83058984305183</c:v>
                </c:pt>
                <c:pt idx="766">
                  <c:v>87.319097963070149</c:v>
                </c:pt>
                <c:pt idx="767">
                  <c:v>95.683016837918771</c:v>
                </c:pt>
                <c:pt idx="768">
                  <c:v>84.520583347956006</c:v>
                </c:pt>
                <c:pt idx="769">
                  <c:v>103.40642255745325</c:v>
                </c:pt>
                <c:pt idx="770">
                  <c:v>152.1364012759079</c:v>
                </c:pt>
                <c:pt idx="771">
                  <c:v>85.690724188614752</c:v>
                </c:pt>
                <c:pt idx="772">
                  <c:v>96.617944300319905</c:v>
                </c:pt>
                <c:pt idx="773">
                  <c:v>129.0585829162377</c:v>
                </c:pt>
                <c:pt idx="774">
                  <c:v>124.0759698582157</c:v>
                </c:pt>
                <c:pt idx="775">
                  <c:v>87.159431583486537</c:v>
                </c:pt>
                <c:pt idx="776">
                  <c:v>107.1765853448709</c:v>
                </c:pt>
                <c:pt idx="777">
                  <c:v>118.02788401541012</c:v>
                </c:pt>
                <c:pt idx="778">
                  <c:v>84.982483721897353</c:v>
                </c:pt>
                <c:pt idx="779">
                  <c:v>177.30116140963833</c:v>
                </c:pt>
                <c:pt idx="780">
                  <c:v>85.09690171059529</c:v>
                </c:pt>
                <c:pt idx="781">
                  <c:v>109.78271935142902</c:v>
                </c:pt>
                <c:pt idx="782">
                  <c:v>110.43574651270586</c:v>
                </c:pt>
                <c:pt idx="783">
                  <c:v>91.659366887869908</c:v>
                </c:pt>
                <c:pt idx="784">
                  <c:v>86.247848997706626</c:v>
                </c:pt>
                <c:pt idx="785">
                  <c:v>81.508580591279866</c:v>
                </c:pt>
                <c:pt idx="786">
                  <c:v>88.192544469303542</c:v>
                </c:pt>
                <c:pt idx="787">
                  <c:v>95.363084435239045</c:v>
                </c:pt>
                <c:pt idx="788">
                  <c:v>105.81779752048739</c:v>
                </c:pt>
                <c:pt idx="789">
                  <c:v>106.89002379866413</c:v>
                </c:pt>
                <c:pt idx="790">
                  <c:v>117.05579746407255</c:v>
                </c:pt>
                <c:pt idx="791">
                  <c:v>303.66013757243741</c:v>
                </c:pt>
                <c:pt idx="792">
                  <c:v>173.11203845545842</c:v>
                </c:pt>
                <c:pt idx="793">
                  <c:v>176.90359338259049</c:v>
                </c:pt>
                <c:pt idx="794">
                  <c:v>114.34544996142614</c:v>
                </c:pt>
                <c:pt idx="795">
                  <c:v>84.889880766709439</c:v>
                </c:pt>
                <c:pt idx="796">
                  <c:v>84.772287872655738</c:v>
                </c:pt>
                <c:pt idx="797">
                  <c:v>87.707878145637324</c:v>
                </c:pt>
                <c:pt idx="798">
                  <c:v>129.52577677390639</c:v>
                </c:pt>
                <c:pt idx="799">
                  <c:v>191.110008379991</c:v>
                </c:pt>
                <c:pt idx="800">
                  <c:v>82.336575493188221</c:v>
                </c:pt>
                <c:pt idx="801">
                  <c:v>94.876667846965802</c:v>
                </c:pt>
                <c:pt idx="802">
                  <c:v>123.41771596889701</c:v>
                </c:pt>
                <c:pt idx="803">
                  <c:v>186.21465100025517</c:v>
                </c:pt>
                <c:pt idx="804">
                  <c:v>81.933436560647877</c:v>
                </c:pt>
                <c:pt idx="805">
                  <c:v>90.275896078630495</c:v>
                </c:pt>
                <c:pt idx="806">
                  <c:v>86.500158048780918</c:v>
                </c:pt>
                <c:pt idx="807">
                  <c:v>110.46173957859871</c:v>
                </c:pt>
                <c:pt idx="808">
                  <c:v>84.345984921047958</c:v>
                </c:pt>
                <c:pt idx="809">
                  <c:v>86.030456993454266</c:v>
                </c:pt>
                <c:pt idx="810">
                  <c:v>175.62493637883588</c:v>
                </c:pt>
                <c:pt idx="811">
                  <c:v>114.06542285326091</c:v>
                </c:pt>
                <c:pt idx="812">
                  <c:v>99.291963313349612</c:v>
                </c:pt>
                <c:pt idx="813">
                  <c:v>81.008227584478149</c:v>
                </c:pt>
                <c:pt idx="814">
                  <c:v>102.71368023684188</c:v>
                </c:pt>
                <c:pt idx="815">
                  <c:v>98.642391633781742</c:v>
                </c:pt>
                <c:pt idx="816">
                  <c:v>95.783628304840619</c:v>
                </c:pt>
                <c:pt idx="817">
                  <c:v>142.8802464313095</c:v>
                </c:pt>
                <c:pt idx="818">
                  <c:v>88.904947411460313</c:v>
                </c:pt>
                <c:pt idx="819">
                  <c:v>105.93693935098048</c:v>
                </c:pt>
                <c:pt idx="820">
                  <c:v>290.8560321442942</c:v>
                </c:pt>
                <c:pt idx="821">
                  <c:v>95.810313822183758</c:v>
                </c:pt>
                <c:pt idx="822">
                  <c:v>83.492758566823412</c:v>
                </c:pt>
                <c:pt idx="823">
                  <c:v>139.6310611655291</c:v>
                </c:pt>
                <c:pt idx="824">
                  <c:v>86.267741623881903</c:v>
                </c:pt>
                <c:pt idx="825">
                  <c:v>125.0427943140906</c:v>
                </c:pt>
                <c:pt idx="826">
                  <c:v>84.229742831330825</c:v>
                </c:pt>
                <c:pt idx="827">
                  <c:v>90.440164448046517</c:v>
                </c:pt>
                <c:pt idx="828">
                  <c:v>117.02640188962965</c:v>
                </c:pt>
                <c:pt idx="829">
                  <c:v>132.26062653269921</c:v>
                </c:pt>
                <c:pt idx="830">
                  <c:v>92.166340111571941</c:v>
                </c:pt>
                <c:pt idx="831">
                  <c:v>145.83121219734781</c:v>
                </c:pt>
                <c:pt idx="832">
                  <c:v>86.217676693728379</c:v>
                </c:pt>
                <c:pt idx="833">
                  <c:v>87.840486444687556</c:v>
                </c:pt>
                <c:pt idx="834">
                  <c:v>94.858635168578672</c:v>
                </c:pt>
                <c:pt idx="835">
                  <c:v>81.023961464903564</c:v>
                </c:pt>
                <c:pt idx="836">
                  <c:v>111.21571419465866</c:v>
                </c:pt>
                <c:pt idx="837">
                  <c:v>102.51098996905178</c:v>
                </c:pt>
                <c:pt idx="838">
                  <c:v>96.335705339225214</c:v>
                </c:pt>
                <c:pt idx="839">
                  <c:v>87.951477293547782</c:v>
                </c:pt>
                <c:pt idx="840">
                  <c:v>83.040143518941903</c:v>
                </c:pt>
                <c:pt idx="841">
                  <c:v>110.68138744407869</c:v>
                </c:pt>
                <c:pt idx="842">
                  <c:v>203.00816133738039</c:v>
                </c:pt>
                <c:pt idx="843">
                  <c:v>84.356973790502195</c:v>
                </c:pt>
                <c:pt idx="844">
                  <c:v>126.91245880720317</c:v>
                </c:pt>
                <c:pt idx="845">
                  <c:v>96.932595624974596</c:v>
                </c:pt>
                <c:pt idx="846">
                  <c:v>87.484542359955242</c:v>
                </c:pt>
                <c:pt idx="847">
                  <c:v>311.97785018680975</c:v>
                </c:pt>
                <c:pt idx="848">
                  <c:v>86.192163233528873</c:v>
                </c:pt>
                <c:pt idx="849">
                  <c:v>134.05299933874102</c:v>
                </c:pt>
                <c:pt idx="850">
                  <c:v>89.977955564123107</c:v>
                </c:pt>
                <c:pt idx="851">
                  <c:v>137.1403170310079</c:v>
                </c:pt>
                <c:pt idx="852">
                  <c:v>86.16967634203607</c:v>
                </c:pt>
                <c:pt idx="853">
                  <c:v>89.00597691719662</c:v>
                </c:pt>
                <c:pt idx="854">
                  <c:v>100.20019050009326</c:v>
                </c:pt>
                <c:pt idx="855">
                  <c:v>87.999090014919602</c:v>
                </c:pt>
                <c:pt idx="856">
                  <c:v>83.041518174502741</c:v>
                </c:pt>
                <c:pt idx="857">
                  <c:v>167.66647999059734</c:v>
                </c:pt>
                <c:pt idx="858">
                  <c:v>82.230671434101893</c:v>
                </c:pt>
                <c:pt idx="859">
                  <c:v>137.28572387983604</c:v>
                </c:pt>
                <c:pt idx="860">
                  <c:v>82.96363310074419</c:v>
                </c:pt>
                <c:pt idx="861">
                  <c:v>86.856883014023907</c:v>
                </c:pt>
                <c:pt idx="862">
                  <c:v>81.331660692362917</c:v>
                </c:pt>
                <c:pt idx="863">
                  <c:v>93.457330622429453</c:v>
                </c:pt>
                <c:pt idx="864">
                  <c:v>82.950628893284673</c:v>
                </c:pt>
                <c:pt idx="865">
                  <c:v>81.73073413836056</c:v>
                </c:pt>
                <c:pt idx="866">
                  <c:v>116.32156020251595</c:v>
                </c:pt>
                <c:pt idx="867">
                  <c:v>155.57526599060566</c:v>
                </c:pt>
                <c:pt idx="868">
                  <c:v>82.319245271913104</c:v>
                </c:pt>
                <c:pt idx="869">
                  <c:v>85.076214883336959</c:v>
                </c:pt>
                <c:pt idx="870">
                  <c:v>94.641862710921629</c:v>
                </c:pt>
                <c:pt idx="871">
                  <c:v>85.33254994632081</c:v>
                </c:pt>
                <c:pt idx="872">
                  <c:v>83.326497014641632</c:v>
                </c:pt>
                <c:pt idx="873">
                  <c:v>99.074123373113693</c:v>
                </c:pt>
                <c:pt idx="874">
                  <c:v>86.027598257318317</c:v>
                </c:pt>
                <c:pt idx="875">
                  <c:v>128.79502242093062</c:v>
                </c:pt>
                <c:pt idx="876">
                  <c:v>98.095860740837082</c:v>
                </c:pt>
                <c:pt idx="877">
                  <c:v>94.348977568791824</c:v>
                </c:pt>
                <c:pt idx="878">
                  <c:v>83.479209190239729</c:v>
                </c:pt>
                <c:pt idx="879">
                  <c:v>119.87079079545242</c:v>
                </c:pt>
                <c:pt idx="880">
                  <c:v>90.379837000931815</c:v>
                </c:pt>
                <c:pt idx="881">
                  <c:v>94.691834845729574</c:v>
                </c:pt>
                <c:pt idx="882">
                  <c:v>166.90575828267944</c:v>
                </c:pt>
                <c:pt idx="883">
                  <c:v>155.47318713916877</c:v>
                </c:pt>
                <c:pt idx="884">
                  <c:v>85.881796738189379</c:v>
                </c:pt>
                <c:pt idx="885">
                  <c:v>94.042840104419753</c:v>
                </c:pt>
                <c:pt idx="886">
                  <c:v>107.9365284498992</c:v>
                </c:pt>
                <c:pt idx="887">
                  <c:v>83.938199931804164</c:v>
                </c:pt>
                <c:pt idx="888">
                  <c:v>108.55600996006079</c:v>
                </c:pt>
                <c:pt idx="889">
                  <c:v>144.589381476005</c:v>
                </c:pt>
                <c:pt idx="890">
                  <c:v>93.568922072416143</c:v>
                </c:pt>
                <c:pt idx="891">
                  <c:v>81.155700024817492</c:v>
                </c:pt>
                <c:pt idx="892">
                  <c:v>99.469735116594734</c:v>
                </c:pt>
                <c:pt idx="893">
                  <c:v>127.69036395066485</c:v>
                </c:pt>
                <c:pt idx="894">
                  <c:v>86.406530471703704</c:v>
                </c:pt>
                <c:pt idx="895">
                  <c:v>84.556349094159842</c:v>
                </c:pt>
                <c:pt idx="896">
                  <c:v>104.08682050203613</c:v>
                </c:pt>
                <c:pt idx="897">
                  <c:v>89.740221078487068</c:v>
                </c:pt>
                <c:pt idx="898">
                  <c:v>128.76860344401109</c:v>
                </c:pt>
                <c:pt idx="899">
                  <c:v>124.39865603813195</c:v>
                </c:pt>
                <c:pt idx="900">
                  <c:v>89.081705679679629</c:v>
                </c:pt>
                <c:pt idx="901">
                  <c:v>100.414849677063</c:v>
                </c:pt>
                <c:pt idx="902">
                  <c:v>87.918525697789164</c:v>
                </c:pt>
                <c:pt idx="903">
                  <c:v>154.18188123824976</c:v>
                </c:pt>
                <c:pt idx="904">
                  <c:v>91.954306091362525</c:v>
                </c:pt>
                <c:pt idx="905">
                  <c:v>84.543428608535635</c:v>
                </c:pt>
                <c:pt idx="906">
                  <c:v>289.57850093963236</c:v>
                </c:pt>
                <c:pt idx="907">
                  <c:v>88.402584534363712</c:v>
                </c:pt>
                <c:pt idx="908">
                  <c:v>165.42174150334509</c:v>
                </c:pt>
                <c:pt idx="909">
                  <c:v>83.787280070174802</c:v>
                </c:pt>
                <c:pt idx="910">
                  <c:v>91.860669798179117</c:v>
                </c:pt>
                <c:pt idx="911">
                  <c:v>91.525409212750532</c:v>
                </c:pt>
                <c:pt idx="912">
                  <c:v>83.999478966614632</c:v>
                </c:pt>
                <c:pt idx="913">
                  <c:v>100.13484666273389</c:v>
                </c:pt>
                <c:pt idx="914">
                  <c:v>85.681781134300309</c:v>
                </c:pt>
                <c:pt idx="915">
                  <c:v>86.378538790290307</c:v>
                </c:pt>
                <c:pt idx="916">
                  <c:v>83.159368505341959</c:v>
                </c:pt>
                <c:pt idx="917">
                  <c:v>81.953562010163537</c:v>
                </c:pt>
                <c:pt idx="918">
                  <c:v>96.417233518499657</c:v>
                </c:pt>
                <c:pt idx="919">
                  <c:v>103.06613631937732</c:v>
                </c:pt>
                <c:pt idx="920">
                  <c:v>160.84306863669295</c:v>
                </c:pt>
                <c:pt idx="921">
                  <c:v>105.53738884529636</c:v>
                </c:pt>
                <c:pt idx="922">
                  <c:v>107.17912691217946</c:v>
                </c:pt>
                <c:pt idx="923">
                  <c:v>93.602991958672149</c:v>
                </c:pt>
                <c:pt idx="924">
                  <c:v>122.29318419572812</c:v>
                </c:pt>
                <c:pt idx="925">
                  <c:v>121.48035841194051</c:v>
                </c:pt>
                <c:pt idx="926">
                  <c:v>184.66673576972426</c:v>
                </c:pt>
                <c:pt idx="927">
                  <c:v>139.64610788098634</c:v>
                </c:pt>
                <c:pt idx="928">
                  <c:v>86.463023350078686</c:v>
                </c:pt>
                <c:pt idx="929">
                  <c:v>88.8614831436591</c:v>
                </c:pt>
                <c:pt idx="930">
                  <c:v>144.06980882156989</c:v>
                </c:pt>
                <c:pt idx="931">
                  <c:v>96.040062133656079</c:v>
                </c:pt>
                <c:pt idx="932">
                  <c:v>85.929258790914417</c:v>
                </c:pt>
                <c:pt idx="933">
                  <c:v>91.713236045653488</c:v>
                </c:pt>
                <c:pt idx="934">
                  <c:v>111.27844064785677</c:v>
                </c:pt>
                <c:pt idx="935">
                  <c:v>86.645755914259311</c:v>
                </c:pt>
                <c:pt idx="936">
                  <c:v>83.272256132573645</c:v>
                </c:pt>
                <c:pt idx="937">
                  <c:v>190.48017608546303</c:v>
                </c:pt>
                <c:pt idx="938">
                  <c:v>86.710136609965573</c:v>
                </c:pt>
                <c:pt idx="939">
                  <c:v>87.431152750468314</c:v>
                </c:pt>
                <c:pt idx="940">
                  <c:v>88.350350672055058</c:v>
                </c:pt>
                <c:pt idx="941">
                  <c:v>106.70288926156609</c:v>
                </c:pt>
                <c:pt idx="942">
                  <c:v>87.302570176243165</c:v>
                </c:pt>
                <c:pt idx="943">
                  <c:v>102.49959988285056</c:v>
                </c:pt>
                <c:pt idx="944">
                  <c:v>95.158148313822267</c:v>
                </c:pt>
                <c:pt idx="945">
                  <c:v>132.46342713221608</c:v>
                </c:pt>
                <c:pt idx="946">
                  <c:v>86.928886852613971</c:v>
                </c:pt>
                <c:pt idx="947">
                  <c:v>221.03980551527616</c:v>
                </c:pt>
                <c:pt idx="948">
                  <c:v>88.894219778830532</c:v>
                </c:pt>
                <c:pt idx="949">
                  <c:v>94.85803799245187</c:v>
                </c:pt>
                <c:pt idx="950">
                  <c:v>104.0747122585265</c:v>
                </c:pt>
                <c:pt idx="951">
                  <c:v>83.745041972961701</c:v>
                </c:pt>
                <c:pt idx="952">
                  <c:v>87.358013179593101</c:v>
                </c:pt>
                <c:pt idx="953">
                  <c:v>82.598510524693481</c:v>
                </c:pt>
                <c:pt idx="954">
                  <c:v>113.60687432427578</c:v>
                </c:pt>
                <c:pt idx="955">
                  <c:v>92.032431826449397</c:v>
                </c:pt>
                <c:pt idx="956">
                  <c:v>97.796615138694293</c:v>
                </c:pt>
                <c:pt idx="957">
                  <c:v>118.61779551141414</c:v>
                </c:pt>
                <c:pt idx="958">
                  <c:v>93.052174846968455</c:v>
                </c:pt>
                <c:pt idx="959">
                  <c:v>85.560592431284277</c:v>
                </c:pt>
                <c:pt idx="960">
                  <c:v>89.928492244324104</c:v>
                </c:pt>
                <c:pt idx="961">
                  <c:v>83.632041724786703</c:v>
                </c:pt>
                <c:pt idx="962">
                  <c:v>97.036653301531118</c:v>
                </c:pt>
                <c:pt idx="963">
                  <c:v>86.058574610202385</c:v>
                </c:pt>
                <c:pt idx="964">
                  <c:v>128.16899661128696</c:v>
                </c:pt>
                <c:pt idx="965">
                  <c:v>88.66313093720747</c:v>
                </c:pt>
                <c:pt idx="966">
                  <c:v>81.610263521886893</c:v>
                </c:pt>
                <c:pt idx="967">
                  <c:v>92.62246169819926</c:v>
                </c:pt>
                <c:pt idx="968">
                  <c:v>83.883721809652968</c:v>
                </c:pt>
                <c:pt idx="969">
                  <c:v>92.842548507613586</c:v>
                </c:pt>
                <c:pt idx="970">
                  <c:v>87.138739789934334</c:v>
                </c:pt>
                <c:pt idx="971">
                  <c:v>98.692882378685226</c:v>
                </c:pt>
                <c:pt idx="972">
                  <c:v>411.66071709431344</c:v>
                </c:pt>
                <c:pt idx="973">
                  <c:v>121.67722938782316</c:v>
                </c:pt>
                <c:pt idx="974">
                  <c:v>81.645687604391028</c:v>
                </c:pt>
                <c:pt idx="975">
                  <c:v>81.55961934428106</c:v>
                </c:pt>
                <c:pt idx="976">
                  <c:v>87.207011275839307</c:v>
                </c:pt>
                <c:pt idx="977">
                  <c:v>117.2264910263543</c:v>
                </c:pt>
                <c:pt idx="978">
                  <c:v>95.917067781384034</c:v>
                </c:pt>
                <c:pt idx="979">
                  <c:v>83.516382869006847</c:v>
                </c:pt>
                <c:pt idx="980">
                  <c:v>82.910087960963423</c:v>
                </c:pt>
                <c:pt idx="981">
                  <c:v>85.395843733191043</c:v>
                </c:pt>
                <c:pt idx="982">
                  <c:v>88.459886163919577</c:v>
                </c:pt>
                <c:pt idx="983">
                  <c:v>99.013626583909627</c:v>
                </c:pt>
                <c:pt idx="984">
                  <c:v>96.574548601273051</c:v>
                </c:pt>
                <c:pt idx="985">
                  <c:v>84.548217711541469</c:v>
                </c:pt>
                <c:pt idx="986">
                  <c:v>86.50737764645352</c:v>
                </c:pt>
                <c:pt idx="987">
                  <c:v>93.346300984321658</c:v>
                </c:pt>
                <c:pt idx="988">
                  <c:v>87.216707068396389</c:v>
                </c:pt>
                <c:pt idx="989">
                  <c:v>83.770533380001112</c:v>
                </c:pt>
                <c:pt idx="990">
                  <c:v>85.410771471666095</c:v>
                </c:pt>
                <c:pt idx="991">
                  <c:v>105.79407257936242</c:v>
                </c:pt>
                <c:pt idx="992">
                  <c:v>230.21118762748699</c:v>
                </c:pt>
                <c:pt idx="993">
                  <c:v>107.42069372938853</c:v>
                </c:pt>
                <c:pt idx="994">
                  <c:v>109.33830453509185</c:v>
                </c:pt>
                <c:pt idx="995">
                  <c:v>124.05520911999696</c:v>
                </c:pt>
                <c:pt idx="996">
                  <c:v>438.52295672567629</c:v>
                </c:pt>
                <c:pt idx="997">
                  <c:v>91.168248265346591</c:v>
                </c:pt>
                <c:pt idx="998">
                  <c:v>83.318121559369644</c:v>
                </c:pt>
                <c:pt idx="999">
                  <c:v>89.719876913459672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E-4D8F-B05C-2C37844BA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969042496"/>
        <c:axId val="971850880"/>
      </c:lineChart>
      <c:catAx>
        <c:axId val="969042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1850880"/>
        <c:crosses val="autoZero"/>
        <c:auto val="1"/>
        <c:lblAlgn val="ctr"/>
        <c:lblOffset val="100"/>
        <c:noMultiLvlLbl val="0"/>
      </c:catAx>
      <c:valAx>
        <c:axId val="97185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042496"/>
        <c:crosses val="autoZero"/>
        <c:crossBetween val="between"/>
      </c:valAx>
      <c:spPr>
        <a:solidFill>
          <a:srgbClr val="002060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45720</xdr:rowOff>
    </xdr:from>
    <xdr:to>
      <xdr:col>16</xdr:col>
      <xdr:colOff>30480</xdr:colOff>
      <xdr:row>12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1D79D7-720B-0EFA-AD6D-80663E16D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106680</xdr:colOff>
      <xdr:row>13</xdr:row>
      <xdr:rowOff>76200</xdr:rowOff>
    </xdr:from>
    <xdr:to>
      <xdr:col>16</xdr:col>
      <xdr:colOff>15240</xdr:colOff>
      <xdr:row>28</xdr:row>
      <xdr:rowOff>91440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4EC452-935D-4CF9-ABFF-A9E1D3124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15240</xdr:rowOff>
    </xdr:from>
    <xdr:to>
      <xdr:col>14</xdr:col>
      <xdr:colOff>342900</xdr:colOff>
      <xdr:row>14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4A0B6F-1F4C-BBCE-2756-63D511525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15</xdr:row>
      <xdr:rowOff>91440</xdr:rowOff>
    </xdr:from>
    <xdr:to>
      <xdr:col>14</xdr:col>
      <xdr:colOff>396240</xdr:colOff>
      <xdr:row>30</xdr:row>
      <xdr:rowOff>83820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B85803-0CD7-4329-BEA4-7C295BEA1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0</xdr:rowOff>
    </xdr:from>
    <xdr:to>
      <xdr:col>14</xdr:col>
      <xdr:colOff>320040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29D248-2A92-CEB8-6937-EF071DC525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</xdr:colOff>
      <xdr:row>14</xdr:row>
      <xdr:rowOff>68580</xdr:rowOff>
    </xdr:from>
    <xdr:to>
      <xdr:col>14</xdr:col>
      <xdr:colOff>327660</xdr:colOff>
      <xdr:row>28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8409D6D-F40E-4747-A0DB-0B27DD96D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DA5704-9F29-4CAE-A063-DD9258D2E8AE}" name="Table1" displayName="Table1" ref="A1:E2" totalsRowShown="0" headerRowDxfId="69" dataDxfId="67" headerRowBorderDxfId="68" tableBorderDxfId="66" totalsRowBorderDxfId="65">
  <autoFilter ref="A1:E2" xr:uid="{02DA5704-9F29-4CAE-A063-DD9258D2E8AE}"/>
  <tableColumns count="5">
    <tableColumn id="1" xr3:uid="{BA73B93E-7203-4E11-BACC-5A6C2786BA27}" name="S0" dataDxfId="64"/>
    <tableColumn id="2" xr3:uid="{02435E97-D9A6-44E4-82AA-1077BB6E0DFE}" name="mu" dataDxfId="63"/>
    <tableColumn id="3" xr3:uid="{B3E4313F-DC81-411C-877E-92F8B139DEEC}" name="Sigma" dataDxfId="62"/>
    <tableColumn id="4" xr3:uid="{D49A2C59-C09F-4DBA-9B3F-E5BDE9D0234E}" name="rf" dataDxfId="61"/>
    <tableColumn id="5" xr3:uid="{94A4003C-1050-4971-9272-7E7C01637428}" name="Plancher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544815-68C7-4F4C-8E42-340585D3B52E}" name="Table3" displayName="Table3" ref="F1:G1001" totalsRowShown="0" headerRowBorderDxfId="59" tableBorderDxfId="58" totalsRowBorderDxfId="57">
  <autoFilter ref="F1:G1001" xr:uid="{74544815-68C7-4F4C-8E42-340585D3B52E}"/>
  <tableColumns count="2">
    <tableColumn id="1" xr3:uid="{4D28DD77-9AEB-402D-8A83-96EB744C6298}" name="Valeur du Portefeuille " dataDxfId="56"/>
    <tableColumn id="2" xr3:uid="{420D035C-3910-4C51-902C-B601A872C2B2}" name="Période 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474C4-1250-43BF-BFB4-AB4DD477F1CA}" name="Table4" displayName="Table4" ref="A12:C23" totalsRowShown="0">
  <autoFilter ref="A12:C23" xr:uid="{A97474C4-1250-43BF-BFB4-AB4DD477F1CA}"/>
  <tableColumns count="3">
    <tableColumn id="1" xr3:uid="{27361FC5-42F6-4259-A367-9C86DBF0E990}" name="ID" dataDxfId="54"/>
    <tableColumn id="2" xr3:uid="{5466074A-B089-4F44-A835-E513DBC4201E}" name="STAT" dataDxfId="53"/>
    <tableColumn id="3" xr3:uid="{133E5744-4B86-4A25-ABB4-A58467210026}" name="Valeur" data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AD14B-D46D-416C-99A2-B2D4D7EA2D83}" name="Table5" displayName="Table5" ref="A4:C6" totalsRowShown="0">
  <autoFilter ref="A4:C6" xr:uid="{A53AD14B-D46D-416C-99A2-B2D4D7EA2D83}"/>
  <tableColumns count="3">
    <tableColumn id="1" xr3:uid="{E1ECB3C4-7632-4D9A-A13E-789462A25A49}" name="ID"/>
    <tableColumn id="2" xr3:uid="{65D8F168-0723-4F91-B168-6CE1D0C6EA4A}" name="Effectifs " dataDxfId="51">
      <calculatedColumnFormula>COUNTIF(Table3[[Valeur du Portefeuille ]],"&gt;80")</calculatedColumnFormula>
    </tableColumn>
    <tableColumn id="3" xr3:uid="{21BE4EBB-CE71-471D-ABB4-14E246617B7B}" name="Fréquence " dataDxfId="50" dataCellStyle="Percent">
      <calculatedColumnFormula>Table5[[#This Row],[Effectifs ]]/1000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BFDBFBE-3273-48BD-B4E3-55BED8EA7263}" name="Table6" displayName="Table6" ref="A1:E2" totalsRowShown="0" headerRowDxfId="49" dataDxfId="47" headerRowBorderDxfId="48" tableBorderDxfId="46" totalsRowBorderDxfId="45">
  <autoFilter ref="A1:E2" xr:uid="{0BFDBFBE-3273-48BD-B4E3-55BED8EA7263}"/>
  <tableColumns count="5">
    <tableColumn id="1" xr3:uid="{8BD81BCB-4F86-4893-9E35-65351A61FD72}" name="S0" dataDxfId="44"/>
    <tableColumn id="2" xr3:uid="{9C2FD426-E97E-439A-9429-95B79BC760FB}" name="mu" dataDxfId="43"/>
    <tableColumn id="3" xr3:uid="{C8171768-31E0-4EE1-BA00-2BB7207733B1}" name="Sigma" dataDxfId="42"/>
    <tableColumn id="4" xr3:uid="{BBF68033-9C6A-4C39-B1C0-C596D0B0B66E}" name="rf" dataDxfId="41"/>
    <tableColumn id="5" xr3:uid="{6E1B404E-4A04-43D2-BA06-32C7225F013F}" name="Plancher" dataDxfId="4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44B7B91-ECE9-4ED9-851D-7390398777C2}" name="Table7" displayName="Table7" ref="F1:G1001" totalsRowShown="0" headerRowDxfId="39" headerRowBorderDxfId="38" tableBorderDxfId="37" totalsRowBorderDxfId="36">
  <autoFilter ref="F1:G1001" xr:uid="{144B7B91-ECE9-4ED9-851D-7390398777C2}"/>
  <tableColumns count="2">
    <tableColumn id="1" xr3:uid="{D5A18941-C9E2-458D-919E-7DB6B5FD9439}" name="Valeur du Portefeuille " dataDxfId="35"/>
    <tableColumn id="2" xr3:uid="{8D2E83EE-E1B3-4346-95CE-406F41974D7F}" name="Période " dataDxfId="34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4595108-E1A4-47E0-A676-5366FFF55FC0}" name="Table11" displayName="Table11" ref="A12:C23" totalsRowShown="0">
  <autoFilter ref="A12:C23" xr:uid="{34595108-E1A4-47E0-A676-5366FFF55FC0}"/>
  <tableColumns count="3">
    <tableColumn id="1" xr3:uid="{559C9C80-D411-470E-A181-93244C5E0F2F}" name="ID" dataDxfId="33"/>
    <tableColumn id="2" xr3:uid="{9B09819A-4BE8-4E10-AD79-73008DF51EF2}" name="STAT" dataDxfId="32"/>
    <tableColumn id="3" xr3:uid="{8F333201-D151-482E-893D-BE5BEC66D97A}" name="VALEUR" dataDxfId="31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A7551F3-3242-437A-A56B-D455B37A3FF5}" name="Table12" displayName="Table12" ref="A4:C6" totalsRowShown="0" dataDxfId="30">
  <autoFilter ref="A4:C6" xr:uid="{EA7551F3-3242-437A-A56B-D455B37A3FF5}"/>
  <tableColumns count="3">
    <tableColumn id="1" xr3:uid="{EC7B13DE-9112-41AA-831D-5EDCEB948E38}" name="ID " dataDxfId="29"/>
    <tableColumn id="2" xr3:uid="{10DE30C4-9404-45B3-BCB9-56F2760D3538}" name="Effectifs " dataDxfId="28">
      <calculatedColumnFormula>COUNTIF(F2:F1001,"&gt;80")</calculatedColumnFormula>
    </tableColumn>
    <tableColumn id="3" xr3:uid="{72B3153F-E050-4B55-9028-70890F320633}" name="Frequence" dataDxfId="27" dataCellStyle="Percent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1A2D466-0956-4A7F-A503-6EB67F0DF27E}" name="Table16" displayName="Table16" ref="A4:C6" totalsRowShown="0" headerRowDxfId="26" dataDxfId="25">
  <autoFilter ref="A4:C6" xr:uid="{41A2D466-0956-4A7F-A503-6EB67F0DF27E}"/>
  <tableColumns count="3">
    <tableColumn id="1" xr3:uid="{740EB436-40ED-49E0-A864-DE19DD1FE85F}" name="ID " dataDxfId="24"/>
    <tableColumn id="2" xr3:uid="{7757F2E5-259F-47DC-A9DD-34B29292A421}" name="Effectifs " dataDxfId="23">
      <calculatedColumnFormula>1000-B4</calculatedColumnFormula>
    </tableColumn>
    <tableColumn id="3" xr3:uid="{BE96FD83-B74B-4922-BB77-C7AFC915AD9F}" name="Frequences" dataDxfId="22" dataCellStyle="Percent">
      <calculatedColumnFormula>B5/1000</calculatedColumnFormula>
    </tableColumn>
  </tableColumns>
  <tableStyleInfo name="TableStyleDark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A563BEF-643C-4F8F-BF47-4715AC578483}" name="Table17" displayName="Table17" ref="A1:E2" totalsRowShown="0" headerRowDxfId="21" dataDxfId="19" headerRowBorderDxfId="20" tableBorderDxfId="18" totalsRowBorderDxfId="17">
  <autoFilter ref="A1:E2" xr:uid="{8A563BEF-643C-4F8F-BF47-4715AC578483}"/>
  <tableColumns count="5">
    <tableColumn id="1" xr3:uid="{FE8FCEA9-254C-4E89-962A-1C517BF66C11}" name="S0" dataDxfId="16"/>
    <tableColumn id="2" xr3:uid="{73B490A0-6309-40A6-AA48-7C63A46917D6}" name="mu" dataDxfId="15"/>
    <tableColumn id="3" xr3:uid="{D5A3E23D-6163-45AA-8FD8-2FAB54AC6ACA}" name="Sigma" dataDxfId="14"/>
    <tableColumn id="4" xr3:uid="{75E5935D-41AD-4E92-8EF9-7CF6C89B5F4A}" name="rf" dataDxfId="13"/>
    <tableColumn id="5" xr3:uid="{516E1A32-23A3-4BC1-AF61-4A4E4A655220}" name="Plancher" dataDxfId="12"/>
  </tableColumns>
  <tableStyleInfo name="TableStyleDark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D287BE-772E-4ADF-A420-2DE265F5BBF0}" name="Table18" displayName="Table18" ref="F1:G1001" totalsRowShown="0" headerRowDxfId="11" dataDxfId="9" headerRowBorderDxfId="10" tableBorderDxfId="8" totalsRowBorderDxfId="7">
  <autoFilter ref="F1:G1001" xr:uid="{C1D287BE-772E-4ADF-A420-2DE265F5BBF0}"/>
  <tableColumns count="2">
    <tableColumn id="1" xr3:uid="{35D07C74-3FE7-40F7-9981-5311896014AB}" name="Valeur du Portefeuille " dataDxfId="6"/>
    <tableColumn id="2" xr3:uid="{9444F7E5-E2B2-4A63-B247-9D5324E99CE9}" name="Période " dataDxfId="5"/>
  </tableColumns>
  <tableStyleInfo name="TableStyleDark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485748A-EDED-4D0C-830A-492D2E64DCE8}" name="Table19" displayName="Table19" ref="A12:C23" totalsRowShown="0" headerRowDxfId="4" dataDxfId="3">
  <autoFilter ref="A12:C23" xr:uid="{3485748A-EDED-4D0C-830A-492D2E64DCE8}"/>
  <tableColumns count="3">
    <tableColumn id="1" xr3:uid="{022B014C-E236-4A75-831C-09A38AE8F00B}" name="ID" dataDxfId="2"/>
    <tableColumn id="2" xr3:uid="{D545FFBD-4B0D-4FF4-A5A2-541CCCA913A1}" name="STAT" dataDxfId="1"/>
    <tableColumn id="3" xr3:uid="{76B5DD4B-B2A7-45AF-87CE-92EF92895C9E}" name="VALEUR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D5664-5740-4A1E-BE63-8AB5D64C0F64}">
  <sheetPr codeName="Sheet2">
    <tabColor rgb="FFFFFF00"/>
  </sheetPr>
  <dimension ref="A1:G1001"/>
  <sheetViews>
    <sheetView zoomScale="94" zoomScaleNormal="94" workbookViewId="0">
      <selection activeCell="C26" sqref="C26"/>
    </sheetView>
  </sheetViews>
  <sheetFormatPr defaultRowHeight="14.4" x14ac:dyDescent="0.3"/>
  <cols>
    <col min="2" max="2" width="20.21875" bestFit="1" customWidth="1"/>
    <col min="3" max="3" width="12.109375" customWidth="1"/>
    <col min="5" max="5" width="11" customWidth="1"/>
    <col min="6" max="6" width="24" customWidth="1"/>
    <col min="7" max="7" width="13.21875" bestFit="1" customWidth="1"/>
  </cols>
  <sheetData>
    <row r="1" spans="1:7" ht="15.6" x14ac:dyDescent="0.3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</row>
    <row r="2" spans="1:7" x14ac:dyDescent="0.3">
      <c r="A2" s="7">
        <v>100</v>
      </c>
      <c r="B2" s="8">
        <v>0.08</v>
      </c>
      <c r="C2" s="8">
        <v>0.3</v>
      </c>
      <c r="D2" s="8">
        <v>0.03</v>
      </c>
      <c r="E2" s="9">
        <v>80</v>
      </c>
      <c r="F2" s="5">
        <v>108.80165591956738</v>
      </c>
      <c r="G2" s="10">
        <v>1</v>
      </c>
    </row>
    <row r="3" spans="1:7" x14ac:dyDescent="0.3">
      <c r="F3" s="5">
        <v>75.838735727644348</v>
      </c>
      <c r="G3" s="3">
        <v>2</v>
      </c>
    </row>
    <row r="4" spans="1:7" x14ac:dyDescent="0.3">
      <c r="A4" t="s">
        <v>7</v>
      </c>
      <c r="B4" t="s">
        <v>12</v>
      </c>
      <c r="C4" t="s">
        <v>13</v>
      </c>
      <c r="F4" s="5">
        <v>77.673058158215809</v>
      </c>
      <c r="G4" s="10">
        <v>3</v>
      </c>
    </row>
    <row r="5" spans="1:7" x14ac:dyDescent="0.3">
      <c r="A5">
        <v>1</v>
      </c>
      <c r="B5">
        <f>COUNTIF(Table3[[Valeur du Portefeuille ]],"&gt;80")</f>
        <v>722</v>
      </c>
      <c r="C5" s="12">
        <f>Table5[[#This Row],[Effectifs ]]/1000</f>
        <v>0.72199999999999998</v>
      </c>
      <c r="F5" s="5">
        <v>141.14036509905631</v>
      </c>
      <c r="G5" s="3">
        <v>4</v>
      </c>
    </row>
    <row r="6" spans="1:7" x14ac:dyDescent="0.3">
      <c r="A6">
        <v>2</v>
      </c>
      <c r="B6">
        <f>1000-B5</f>
        <v>278</v>
      </c>
      <c r="C6" s="12">
        <f>Table5[[#This Row],[Effectifs ]]/1000</f>
        <v>0.27800000000000002</v>
      </c>
      <c r="F6" s="5">
        <v>75.505841130016137</v>
      </c>
      <c r="G6" s="10">
        <v>5</v>
      </c>
    </row>
    <row r="7" spans="1:7" x14ac:dyDescent="0.3">
      <c r="F7" s="5">
        <v>75.368152214284308</v>
      </c>
      <c r="G7" s="3">
        <v>6</v>
      </c>
    </row>
    <row r="8" spans="1:7" x14ac:dyDescent="0.3">
      <c r="F8" s="5">
        <v>131.02311422818954</v>
      </c>
      <c r="G8" s="10">
        <v>7</v>
      </c>
    </row>
    <row r="9" spans="1:7" x14ac:dyDescent="0.3">
      <c r="F9" s="5">
        <v>75.610336486248968</v>
      </c>
      <c r="G9" s="3">
        <v>8</v>
      </c>
    </row>
    <row r="10" spans="1:7" x14ac:dyDescent="0.3">
      <c r="F10" s="5">
        <v>91.329013056820401</v>
      </c>
      <c r="G10" s="10">
        <v>9</v>
      </c>
    </row>
    <row r="11" spans="1:7" x14ac:dyDescent="0.3">
      <c r="F11" s="5">
        <v>92.96001569804686</v>
      </c>
      <c r="G11" s="3">
        <v>10</v>
      </c>
    </row>
    <row r="12" spans="1:7" x14ac:dyDescent="0.3">
      <c r="A12" s="2" t="s">
        <v>7</v>
      </c>
      <c r="B12" s="16" t="s">
        <v>9</v>
      </c>
      <c r="C12" s="16" t="s">
        <v>8</v>
      </c>
      <c r="F12" s="5">
        <v>78.928798349036242</v>
      </c>
      <c r="G12" s="10">
        <v>11</v>
      </c>
    </row>
    <row r="13" spans="1:7" x14ac:dyDescent="0.3">
      <c r="A13" s="2">
        <v>1</v>
      </c>
      <c r="B13" s="16" t="s">
        <v>14</v>
      </c>
      <c r="C13" s="14">
        <f>AVERAGE(Table3[[Valeur du Portefeuille ]])</f>
        <v>107.11726687110922</v>
      </c>
      <c r="F13" s="5">
        <v>72.952708024496076</v>
      </c>
      <c r="G13" s="3">
        <v>12</v>
      </c>
    </row>
    <row r="14" spans="1:7" x14ac:dyDescent="0.3">
      <c r="A14" s="2">
        <v>2</v>
      </c>
      <c r="B14" s="16" t="s">
        <v>15</v>
      </c>
      <c r="C14" s="14">
        <f>MIN(Table3[[Valeur du Portefeuille ]])</f>
        <v>55.323963015883862</v>
      </c>
      <c r="F14" s="5">
        <v>76.09066175497361</v>
      </c>
      <c r="G14" s="10">
        <v>13</v>
      </c>
    </row>
    <row r="15" spans="1:7" x14ac:dyDescent="0.3">
      <c r="A15" s="2">
        <v>3</v>
      </c>
      <c r="B15" s="16" t="s">
        <v>16</v>
      </c>
      <c r="C15" s="14">
        <f>MAX(Table3[[Valeur du Portefeuille ]])</f>
        <v>275.65525516308202</v>
      </c>
      <c r="F15" s="5">
        <v>104.1570878474185</v>
      </c>
      <c r="G15" s="3">
        <v>14</v>
      </c>
    </row>
    <row r="16" spans="1:7" x14ac:dyDescent="0.3">
      <c r="A16" s="2">
        <v>4</v>
      </c>
      <c r="B16" s="16" t="s">
        <v>17</v>
      </c>
      <c r="C16" s="14">
        <f>_xlfn.STDEV.S(Table3[[Valeur du Portefeuille ]])</f>
        <v>33.380801644121469</v>
      </c>
      <c r="F16" s="5">
        <v>79.856063768512314</v>
      </c>
      <c r="G16" s="10">
        <v>15</v>
      </c>
    </row>
    <row r="17" spans="1:7" x14ac:dyDescent="0.3">
      <c r="A17" s="2">
        <v>5</v>
      </c>
      <c r="B17" s="2" t="s">
        <v>10</v>
      </c>
      <c r="C17" s="15">
        <f>COUNTIF(Table3[[Valeur du Portefeuille ]],"&gt;80")/COUNT(Table3[[Valeur du Portefeuille ]])</f>
        <v>0.72199999999999998</v>
      </c>
      <c r="F17" s="5">
        <v>78.759623731592598</v>
      </c>
      <c r="G17" s="3">
        <v>16</v>
      </c>
    </row>
    <row r="18" spans="1:7" x14ac:dyDescent="0.3">
      <c r="A18" s="2">
        <v>6</v>
      </c>
      <c r="B18" s="2" t="s">
        <v>11</v>
      </c>
      <c r="C18" s="14" t="str">
        <f>IF(F1001&gt;80," Oui","Non")</f>
        <v>Non</v>
      </c>
      <c r="F18" s="5">
        <v>75.676781184168334</v>
      </c>
      <c r="G18" s="10">
        <v>17</v>
      </c>
    </row>
    <row r="19" spans="1:7" x14ac:dyDescent="0.3">
      <c r="A19" s="2">
        <v>7</v>
      </c>
      <c r="B19" s="16" t="s">
        <v>18</v>
      </c>
      <c r="C19" s="14">
        <f>MEDIAN(Table3[[Valeur du Portefeuille ]])</f>
        <v>100.09959132917048</v>
      </c>
      <c r="F19" s="5">
        <v>112.9538436284891</v>
      </c>
      <c r="G19" s="3">
        <v>18</v>
      </c>
    </row>
    <row r="20" spans="1:7" x14ac:dyDescent="0.3">
      <c r="A20" s="2">
        <v>8</v>
      </c>
      <c r="B20" s="2" t="s">
        <v>19</v>
      </c>
      <c r="C20" s="17">
        <f>COUNT(Table3[[Valeur du Portefeuille ]])</f>
        <v>1000</v>
      </c>
      <c r="F20" s="5">
        <v>96.436327284737786</v>
      </c>
      <c r="G20" s="10">
        <v>19</v>
      </c>
    </row>
    <row r="21" spans="1:7" x14ac:dyDescent="0.3">
      <c r="A21" s="2">
        <v>9</v>
      </c>
      <c r="B21" s="2" t="s">
        <v>20</v>
      </c>
      <c r="C21" s="14" cm="1">
        <f t="array" ref="C21">(C13-Table1[rf])/C16</f>
        <v>3.2080495852911262</v>
      </c>
      <c r="F21" s="5">
        <v>155.458581251932</v>
      </c>
      <c r="G21" s="3">
        <v>20</v>
      </c>
    </row>
    <row r="22" spans="1:7" x14ac:dyDescent="0.3">
      <c r="A22" s="2">
        <v>10</v>
      </c>
      <c r="B22" s="2" t="s">
        <v>21</v>
      </c>
      <c r="C22" s="14">
        <f>C13-_xlfn.NORM.S.INV(0.95)*C16</f>
        <v>52.210734216228381</v>
      </c>
      <c r="F22" s="5">
        <v>78.09429411657554</v>
      </c>
      <c r="G22" s="10">
        <v>21</v>
      </c>
    </row>
    <row r="23" spans="1:7" x14ac:dyDescent="0.3">
      <c r="A23" s="2">
        <v>11</v>
      </c>
      <c r="B23" s="2" t="s">
        <v>22</v>
      </c>
      <c r="C23" s="14">
        <f>C13 - C16 * _xlfn.NORM.S.DIST(_xlfn.NORM.S.INV(0.05), TRUE) / 0.05</f>
        <v>73.736465226987747</v>
      </c>
      <c r="F23" s="5">
        <v>115.34181959624408</v>
      </c>
      <c r="G23" s="3">
        <v>22</v>
      </c>
    </row>
    <row r="24" spans="1:7" x14ac:dyDescent="0.3">
      <c r="F24" s="5">
        <v>119.9222218222976</v>
      </c>
      <c r="G24" s="10">
        <v>23</v>
      </c>
    </row>
    <row r="25" spans="1:7" x14ac:dyDescent="0.3">
      <c r="F25" s="5">
        <v>85.986171397074415</v>
      </c>
      <c r="G25" s="3">
        <v>24</v>
      </c>
    </row>
    <row r="26" spans="1:7" x14ac:dyDescent="0.3">
      <c r="F26" s="5">
        <v>127.7396905850843</v>
      </c>
      <c r="G26" s="10">
        <v>25</v>
      </c>
    </row>
    <row r="27" spans="1:7" x14ac:dyDescent="0.3">
      <c r="F27" s="5">
        <v>88.685056455598186</v>
      </c>
      <c r="G27" s="3">
        <v>26</v>
      </c>
    </row>
    <row r="28" spans="1:7" x14ac:dyDescent="0.3">
      <c r="F28" s="5">
        <v>155.51233167736163</v>
      </c>
      <c r="G28" s="10">
        <v>27</v>
      </c>
    </row>
    <row r="29" spans="1:7" x14ac:dyDescent="0.3">
      <c r="F29" s="5">
        <v>85.696510013036573</v>
      </c>
      <c r="G29" s="3">
        <v>28</v>
      </c>
    </row>
    <row r="30" spans="1:7" x14ac:dyDescent="0.3">
      <c r="F30" s="5">
        <v>84.284359483898584</v>
      </c>
      <c r="G30" s="10">
        <v>29</v>
      </c>
    </row>
    <row r="31" spans="1:7" x14ac:dyDescent="0.3">
      <c r="F31" s="5">
        <v>108.73024640186333</v>
      </c>
      <c r="G31" s="3">
        <v>30</v>
      </c>
    </row>
    <row r="32" spans="1:7" x14ac:dyDescent="0.3">
      <c r="F32" s="5">
        <v>82.473384896526483</v>
      </c>
      <c r="G32" s="10">
        <v>31</v>
      </c>
    </row>
    <row r="33" spans="6:7" x14ac:dyDescent="0.3">
      <c r="F33" s="5">
        <v>65.346648038080289</v>
      </c>
      <c r="G33" s="3">
        <v>32</v>
      </c>
    </row>
    <row r="34" spans="6:7" x14ac:dyDescent="0.3">
      <c r="F34" s="5">
        <v>127.14420793534326</v>
      </c>
      <c r="G34" s="10">
        <v>33</v>
      </c>
    </row>
    <row r="35" spans="6:7" x14ac:dyDescent="0.3">
      <c r="F35" s="5">
        <v>92.62477344642177</v>
      </c>
      <c r="G35" s="3">
        <v>34</v>
      </c>
    </row>
    <row r="36" spans="6:7" x14ac:dyDescent="0.3">
      <c r="F36" s="5">
        <v>73.987275670030655</v>
      </c>
      <c r="G36" s="10">
        <v>35</v>
      </c>
    </row>
    <row r="37" spans="6:7" x14ac:dyDescent="0.3">
      <c r="F37" s="5">
        <v>90.197034516150566</v>
      </c>
      <c r="G37" s="3">
        <v>36</v>
      </c>
    </row>
    <row r="38" spans="6:7" x14ac:dyDescent="0.3">
      <c r="F38" s="5">
        <v>102.38219213980692</v>
      </c>
      <c r="G38" s="10">
        <v>37</v>
      </c>
    </row>
    <row r="39" spans="6:7" x14ac:dyDescent="0.3">
      <c r="F39" s="5">
        <v>94.873724749849131</v>
      </c>
      <c r="G39" s="3">
        <v>38</v>
      </c>
    </row>
    <row r="40" spans="6:7" x14ac:dyDescent="0.3">
      <c r="F40" s="5">
        <v>66.149146085594268</v>
      </c>
      <c r="G40" s="10">
        <v>39</v>
      </c>
    </row>
    <row r="41" spans="6:7" x14ac:dyDescent="0.3">
      <c r="F41" s="5">
        <v>117.48090821056495</v>
      </c>
      <c r="G41" s="3">
        <v>40</v>
      </c>
    </row>
    <row r="42" spans="6:7" x14ac:dyDescent="0.3">
      <c r="F42" s="5">
        <v>78.893923329844952</v>
      </c>
      <c r="G42" s="10">
        <v>41</v>
      </c>
    </row>
    <row r="43" spans="6:7" x14ac:dyDescent="0.3">
      <c r="F43" s="5">
        <v>91.220859955266633</v>
      </c>
      <c r="G43" s="3">
        <v>42</v>
      </c>
    </row>
    <row r="44" spans="6:7" x14ac:dyDescent="0.3">
      <c r="F44" s="5">
        <v>72.696939183876083</v>
      </c>
      <c r="G44" s="10">
        <v>43</v>
      </c>
    </row>
    <row r="45" spans="6:7" x14ac:dyDescent="0.3">
      <c r="F45" s="5">
        <v>117.97105694756684</v>
      </c>
      <c r="G45" s="3">
        <v>44</v>
      </c>
    </row>
    <row r="46" spans="6:7" x14ac:dyDescent="0.3">
      <c r="F46" s="5">
        <v>104.94156738583133</v>
      </c>
      <c r="G46" s="10">
        <v>45</v>
      </c>
    </row>
    <row r="47" spans="6:7" x14ac:dyDescent="0.3">
      <c r="F47" s="5">
        <v>70.948130377181812</v>
      </c>
      <c r="G47" s="3">
        <v>46</v>
      </c>
    </row>
    <row r="48" spans="6:7" x14ac:dyDescent="0.3">
      <c r="F48" s="5">
        <v>80.356578265987324</v>
      </c>
      <c r="G48" s="10">
        <v>47</v>
      </c>
    </row>
    <row r="49" spans="6:7" x14ac:dyDescent="0.3">
      <c r="F49" s="5">
        <v>125.19789426193303</v>
      </c>
      <c r="G49" s="3">
        <v>48</v>
      </c>
    </row>
    <row r="50" spans="6:7" x14ac:dyDescent="0.3">
      <c r="F50" s="5">
        <v>125.86739244377166</v>
      </c>
      <c r="G50" s="10">
        <v>49</v>
      </c>
    </row>
    <row r="51" spans="6:7" x14ac:dyDescent="0.3">
      <c r="F51" s="5">
        <v>78.603433837695945</v>
      </c>
      <c r="G51" s="3">
        <v>50</v>
      </c>
    </row>
    <row r="52" spans="6:7" x14ac:dyDescent="0.3">
      <c r="F52" s="5">
        <v>69.139538264976622</v>
      </c>
      <c r="G52" s="10">
        <v>51</v>
      </c>
    </row>
    <row r="53" spans="6:7" x14ac:dyDescent="0.3">
      <c r="F53" s="5">
        <v>73.307914104913664</v>
      </c>
      <c r="G53" s="3">
        <v>52</v>
      </c>
    </row>
    <row r="54" spans="6:7" x14ac:dyDescent="0.3">
      <c r="F54" s="5">
        <v>201.85665112362079</v>
      </c>
      <c r="G54" s="10">
        <v>53</v>
      </c>
    </row>
    <row r="55" spans="6:7" x14ac:dyDescent="0.3">
      <c r="F55" s="5">
        <v>121.53901287235557</v>
      </c>
      <c r="G55" s="3">
        <v>54</v>
      </c>
    </row>
    <row r="56" spans="6:7" x14ac:dyDescent="0.3">
      <c r="F56" s="5">
        <v>79.87598943230023</v>
      </c>
      <c r="G56" s="10">
        <v>55</v>
      </c>
    </row>
    <row r="57" spans="6:7" x14ac:dyDescent="0.3">
      <c r="F57" s="5">
        <v>78.482299291260119</v>
      </c>
      <c r="G57" s="3">
        <v>56</v>
      </c>
    </row>
    <row r="58" spans="6:7" x14ac:dyDescent="0.3">
      <c r="F58" s="5">
        <v>72.312585978226863</v>
      </c>
      <c r="G58" s="10">
        <v>57</v>
      </c>
    </row>
    <row r="59" spans="6:7" x14ac:dyDescent="0.3">
      <c r="F59" s="5">
        <v>106.68655168546148</v>
      </c>
      <c r="G59" s="3">
        <v>58</v>
      </c>
    </row>
    <row r="60" spans="6:7" x14ac:dyDescent="0.3">
      <c r="F60" s="5">
        <v>89.078577921283156</v>
      </c>
      <c r="G60" s="10">
        <v>59</v>
      </c>
    </row>
    <row r="61" spans="6:7" x14ac:dyDescent="0.3">
      <c r="F61" s="5">
        <v>117.75581911312388</v>
      </c>
      <c r="G61" s="3">
        <v>60</v>
      </c>
    </row>
    <row r="62" spans="6:7" x14ac:dyDescent="0.3">
      <c r="F62" s="5">
        <v>102.09120422991748</v>
      </c>
      <c r="G62" s="10">
        <v>61</v>
      </c>
    </row>
    <row r="63" spans="6:7" x14ac:dyDescent="0.3">
      <c r="F63" s="5">
        <v>96.622852871572533</v>
      </c>
      <c r="G63" s="3">
        <v>62</v>
      </c>
    </row>
    <row r="64" spans="6:7" x14ac:dyDescent="0.3">
      <c r="F64" s="5">
        <v>154.23675426554357</v>
      </c>
      <c r="G64" s="10">
        <v>63</v>
      </c>
    </row>
    <row r="65" spans="6:7" x14ac:dyDescent="0.3">
      <c r="F65" s="5">
        <v>128.75824459989957</v>
      </c>
      <c r="G65" s="3">
        <v>64</v>
      </c>
    </row>
    <row r="66" spans="6:7" x14ac:dyDescent="0.3">
      <c r="F66" s="5">
        <v>102.42469887584944</v>
      </c>
      <c r="G66" s="10">
        <v>65</v>
      </c>
    </row>
    <row r="67" spans="6:7" x14ac:dyDescent="0.3">
      <c r="F67" s="5">
        <v>121.97555582086491</v>
      </c>
      <c r="G67" s="3">
        <v>66</v>
      </c>
    </row>
    <row r="68" spans="6:7" x14ac:dyDescent="0.3">
      <c r="F68" s="5">
        <v>76.697192178720599</v>
      </c>
      <c r="G68" s="10">
        <v>67</v>
      </c>
    </row>
    <row r="69" spans="6:7" x14ac:dyDescent="0.3">
      <c r="F69" s="5">
        <v>169.06146567287473</v>
      </c>
      <c r="G69" s="3">
        <v>68</v>
      </c>
    </row>
    <row r="70" spans="6:7" x14ac:dyDescent="0.3">
      <c r="F70" s="5">
        <v>141.08041164966758</v>
      </c>
      <c r="G70" s="10">
        <v>69</v>
      </c>
    </row>
    <row r="71" spans="6:7" x14ac:dyDescent="0.3">
      <c r="F71" s="5">
        <v>107.91610955076142</v>
      </c>
      <c r="G71" s="3">
        <v>70</v>
      </c>
    </row>
    <row r="72" spans="6:7" x14ac:dyDescent="0.3">
      <c r="F72" s="5">
        <v>67.150709859354308</v>
      </c>
      <c r="G72" s="10">
        <v>71</v>
      </c>
    </row>
    <row r="73" spans="6:7" x14ac:dyDescent="0.3">
      <c r="F73" s="5">
        <v>91.328103543600704</v>
      </c>
      <c r="G73" s="3">
        <v>72</v>
      </c>
    </row>
    <row r="74" spans="6:7" x14ac:dyDescent="0.3">
      <c r="F74" s="5">
        <v>78.211550191201795</v>
      </c>
      <c r="G74" s="10">
        <v>73</v>
      </c>
    </row>
    <row r="75" spans="6:7" x14ac:dyDescent="0.3">
      <c r="F75" s="5">
        <v>110.05758153853094</v>
      </c>
      <c r="G75" s="3">
        <v>74</v>
      </c>
    </row>
    <row r="76" spans="6:7" x14ac:dyDescent="0.3">
      <c r="F76" s="5">
        <v>95.699297661022385</v>
      </c>
      <c r="G76" s="10">
        <v>75</v>
      </c>
    </row>
    <row r="77" spans="6:7" x14ac:dyDescent="0.3">
      <c r="F77" s="5">
        <v>81.373549705475767</v>
      </c>
      <c r="G77" s="3">
        <v>76</v>
      </c>
    </row>
    <row r="78" spans="6:7" x14ac:dyDescent="0.3">
      <c r="F78" s="5">
        <v>74.628707693666257</v>
      </c>
      <c r="G78" s="10">
        <v>77</v>
      </c>
    </row>
    <row r="79" spans="6:7" x14ac:dyDescent="0.3">
      <c r="F79" s="5">
        <v>99.568534269845912</v>
      </c>
      <c r="G79" s="3">
        <v>78</v>
      </c>
    </row>
    <row r="80" spans="6:7" x14ac:dyDescent="0.3">
      <c r="F80" s="5">
        <v>74.644231959001615</v>
      </c>
      <c r="G80" s="10">
        <v>79</v>
      </c>
    </row>
    <row r="81" spans="6:7" x14ac:dyDescent="0.3">
      <c r="F81" s="5">
        <v>79.11956810564071</v>
      </c>
      <c r="G81" s="3">
        <v>80</v>
      </c>
    </row>
    <row r="82" spans="6:7" x14ac:dyDescent="0.3">
      <c r="F82" s="5">
        <v>146.25954073388681</v>
      </c>
      <c r="G82" s="10">
        <v>81</v>
      </c>
    </row>
    <row r="83" spans="6:7" x14ac:dyDescent="0.3">
      <c r="F83" s="5">
        <v>93.753999488052401</v>
      </c>
      <c r="G83" s="3">
        <v>82</v>
      </c>
    </row>
    <row r="84" spans="6:7" x14ac:dyDescent="0.3">
      <c r="F84" s="5">
        <v>119.26396612414197</v>
      </c>
      <c r="G84" s="10">
        <v>83</v>
      </c>
    </row>
    <row r="85" spans="6:7" x14ac:dyDescent="0.3">
      <c r="F85" s="5">
        <v>76.334723483084133</v>
      </c>
      <c r="G85" s="3">
        <v>84</v>
      </c>
    </row>
    <row r="86" spans="6:7" x14ac:dyDescent="0.3">
      <c r="F86" s="5">
        <v>74.31929997765522</v>
      </c>
      <c r="G86" s="10">
        <v>85</v>
      </c>
    </row>
    <row r="87" spans="6:7" x14ac:dyDescent="0.3">
      <c r="F87" s="5">
        <v>74.698215151340037</v>
      </c>
      <c r="G87" s="3">
        <v>86</v>
      </c>
    </row>
    <row r="88" spans="6:7" x14ac:dyDescent="0.3">
      <c r="F88" s="5">
        <v>96.319550130828532</v>
      </c>
      <c r="G88" s="10">
        <v>87</v>
      </c>
    </row>
    <row r="89" spans="6:7" x14ac:dyDescent="0.3">
      <c r="F89" s="5">
        <v>131.87082485468505</v>
      </c>
      <c r="G89" s="3">
        <v>88</v>
      </c>
    </row>
    <row r="90" spans="6:7" x14ac:dyDescent="0.3">
      <c r="F90" s="5">
        <v>74.916651688695381</v>
      </c>
      <c r="G90" s="10">
        <v>89</v>
      </c>
    </row>
    <row r="91" spans="6:7" x14ac:dyDescent="0.3">
      <c r="F91" s="5">
        <v>95.083659741583787</v>
      </c>
      <c r="G91" s="3">
        <v>90</v>
      </c>
    </row>
    <row r="92" spans="6:7" x14ac:dyDescent="0.3">
      <c r="F92" s="5">
        <v>115.9477384585801</v>
      </c>
      <c r="G92" s="10">
        <v>91</v>
      </c>
    </row>
    <row r="93" spans="6:7" x14ac:dyDescent="0.3">
      <c r="F93" s="5">
        <v>99.838964343260002</v>
      </c>
      <c r="G93" s="3">
        <v>92</v>
      </c>
    </row>
    <row r="94" spans="6:7" x14ac:dyDescent="0.3">
      <c r="F94" s="5">
        <v>76.06367579663133</v>
      </c>
      <c r="G94" s="10">
        <v>93</v>
      </c>
    </row>
    <row r="95" spans="6:7" x14ac:dyDescent="0.3">
      <c r="F95" s="5">
        <v>124.99784647428146</v>
      </c>
      <c r="G95" s="3">
        <v>94</v>
      </c>
    </row>
    <row r="96" spans="6:7" x14ac:dyDescent="0.3">
      <c r="F96" s="5">
        <v>89.764802279827862</v>
      </c>
      <c r="G96" s="10">
        <v>95</v>
      </c>
    </row>
    <row r="97" spans="6:7" x14ac:dyDescent="0.3">
      <c r="F97" s="5">
        <v>154.02472646173598</v>
      </c>
      <c r="G97" s="3">
        <v>96</v>
      </c>
    </row>
    <row r="98" spans="6:7" x14ac:dyDescent="0.3">
      <c r="F98" s="5">
        <v>121.53872580421826</v>
      </c>
      <c r="G98" s="10">
        <v>97</v>
      </c>
    </row>
    <row r="99" spans="6:7" x14ac:dyDescent="0.3">
      <c r="F99" s="5">
        <v>79.631705695353745</v>
      </c>
      <c r="G99" s="3">
        <v>98</v>
      </c>
    </row>
    <row r="100" spans="6:7" x14ac:dyDescent="0.3">
      <c r="F100" s="5">
        <v>136.00680451146619</v>
      </c>
      <c r="G100" s="10">
        <v>99</v>
      </c>
    </row>
    <row r="101" spans="6:7" x14ac:dyDescent="0.3">
      <c r="F101" s="5">
        <v>84.503410841256269</v>
      </c>
      <c r="G101" s="3">
        <v>100</v>
      </c>
    </row>
    <row r="102" spans="6:7" x14ac:dyDescent="0.3">
      <c r="F102" s="5">
        <v>95.032897161451899</v>
      </c>
      <c r="G102" s="10">
        <v>101</v>
      </c>
    </row>
    <row r="103" spans="6:7" x14ac:dyDescent="0.3">
      <c r="F103" s="5">
        <v>77.673132313987139</v>
      </c>
      <c r="G103" s="3">
        <v>102</v>
      </c>
    </row>
    <row r="104" spans="6:7" x14ac:dyDescent="0.3">
      <c r="F104" s="5">
        <v>133.15847603624744</v>
      </c>
      <c r="G104" s="10">
        <v>103</v>
      </c>
    </row>
    <row r="105" spans="6:7" x14ac:dyDescent="0.3">
      <c r="F105" s="5">
        <v>100.00012728540997</v>
      </c>
      <c r="G105" s="3">
        <v>104</v>
      </c>
    </row>
    <row r="106" spans="6:7" x14ac:dyDescent="0.3">
      <c r="F106" s="5">
        <v>77.294426153948521</v>
      </c>
      <c r="G106" s="10">
        <v>105</v>
      </c>
    </row>
    <row r="107" spans="6:7" x14ac:dyDescent="0.3">
      <c r="F107" s="5">
        <v>144.39444429303435</v>
      </c>
      <c r="G107" s="3">
        <v>106</v>
      </c>
    </row>
    <row r="108" spans="6:7" x14ac:dyDescent="0.3">
      <c r="F108" s="5">
        <v>173.44821750918484</v>
      </c>
      <c r="G108" s="10">
        <v>107</v>
      </c>
    </row>
    <row r="109" spans="6:7" x14ac:dyDescent="0.3">
      <c r="F109" s="5">
        <v>66.318808618730131</v>
      </c>
      <c r="G109" s="3">
        <v>108</v>
      </c>
    </row>
    <row r="110" spans="6:7" x14ac:dyDescent="0.3">
      <c r="F110" s="5">
        <v>123.69363680795122</v>
      </c>
      <c r="G110" s="10">
        <v>109</v>
      </c>
    </row>
    <row r="111" spans="6:7" x14ac:dyDescent="0.3">
      <c r="F111" s="5">
        <v>104.18705689664935</v>
      </c>
      <c r="G111" s="3">
        <v>110</v>
      </c>
    </row>
    <row r="112" spans="6:7" x14ac:dyDescent="0.3">
      <c r="F112" s="5">
        <v>91.302185169252226</v>
      </c>
      <c r="G112" s="10">
        <v>111</v>
      </c>
    </row>
    <row r="113" spans="6:7" x14ac:dyDescent="0.3">
      <c r="F113" s="5">
        <v>74.899544723556943</v>
      </c>
      <c r="G113" s="3">
        <v>112</v>
      </c>
    </row>
    <row r="114" spans="6:7" x14ac:dyDescent="0.3">
      <c r="F114" s="5">
        <v>121.16184838643457</v>
      </c>
      <c r="G114" s="10">
        <v>113</v>
      </c>
    </row>
    <row r="115" spans="6:7" x14ac:dyDescent="0.3">
      <c r="F115" s="5">
        <v>72.98464002816641</v>
      </c>
      <c r="G115" s="3">
        <v>114</v>
      </c>
    </row>
    <row r="116" spans="6:7" x14ac:dyDescent="0.3">
      <c r="F116" s="5">
        <v>78.565517190883554</v>
      </c>
      <c r="G116" s="10">
        <v>115</v>
      </c>
    </row>
    <row r="117" spans="6:7" x14ac:dyDescent="0.3">
      <c r="F117" s="5">
        <v>89.495747444337709</v>
      </c>
      <c r="G117" s="3">
        <v>116</v>
      </c>
    </row>
    <row r="118" spans="6:7" x14ac:dyDescent="0.3">
      <c r="F118" s="5">
        <v>113.90023933035405</v>
      </c>
      <c r="G118" s="10">
        <v>117</v>
      </c>
    </row>
    <row r="119" spans="6:7" x14ac:dyDescent="0.3">
      <c r="F119" s="5">
        <v>90.672704669673266</v>
      </c>
      <c r="G119" s="3">
        <v>118</v>
      </c>
    </row>
    <row r="120" spans="6:7" x14ac:dyDescent="0.3">
      <c r="F120" s="5">
        <v>72.840692081934236</v>
      </c>
      <c r="G120" s="10">
        <v>119</v>
      </c>
    </row>
    <row r="121" spans="6:7" x14ac:dyDescent="0.3">
      <c r="F121" s="5">
        <v>70.211328056806593</v>
      </c>
      <c r="G121" s="3">
        <v>120</v>
      </c>
    </row>
    <row r="122" spans="6:7" x14ac:dyDescent="0.3">
      <c r="F122" s="5">
        <v>117.45118012453858</v>
      </c>
      <c r="G122" s="10">
        <v>121</v>
      </c>
    </row>
    <row r="123" spans="6:7" x14ac:dyDescent="0.3">
      <c r="F123" s="5">
        <v>108.34585451916192</v>
      </c>
      <c r="G123" s="3">
        <v>122</v>
      </c>
    </row>
    <row r="124" spans="6:7" x14ac:dyDescent="0.3">
      <c r="F124" s="5">
        <v>138.28216218423378</v>
      </c>
      <c r="G124" s="10">
        <v>123</v>
      </c>
    </row>
    <row r="125" spans="6:7" x14ac:dyDescent="0.3">
      <c r="F125" s="5">
        <v>199.92721555635379</v>
      </c>
      <c r="G125" s="3">
        <v>124</v>
      </c>
    </row>
    <row r="126" spans="6:7" x14ac:dyDescent="0.3">
      <c r="F126" s="5">
        <v>156.69594167034893</v>
      </c>
      <c r="G126" s="10">
        <v>125</v>
      </c>
    </row>
    <row r="127" spans="6:7" x14ac:dyDescent="0.3">
      <c r="F127" s="5">
        <v>80.022432444919602</v>
      </c>
      <c r="G127" s="3">
        <v>126</v>
      </c>
    </row>
    <row r="128" spans="6:7" x14ac:dyDescent="0.3">
      <c r="F128" s="5">
        <v>103.93626445423777</v>
      </c>
      <c r="G128" s="10">
        <v>127</v>
      </c>
    </row>
    <row r="129" spans="6:7" x14ac:dyDescent="0.3">
      <c r="F129" s="5">
        <v>115.54689403443329</v>
      </c>
      <c r="G129" s="3">
        <v>128</v>
      </c>
    </row>
    <row r="130" spans="6:7" x14ac:dyDescent="0.3">
      <c r="F130" s="5">
        <v>72.940708428125831</v>
      </c>
      <c r="G130" s="10">
        <v>129</v>
      </c>
    </row>
    <row r="131" spans="6:7" x14ac:dyDescent="0.3">
      <c r="F131" s="5">
        <v>179.38912794918889</v>
      </c>
      <c r="G131" s="3">
        <v>130</v>
      </c>
    </row>
    <row r="132" spans="6:7" x14ac:dyDescent="0.3">
      <c r="F132" s="5">
        <v>74.395030731781944</v>
      </c>
      <c r="G132" s="10">
        <v>131</v>
      </c>
    </row>
    <row r="133" spans="6:7" x14ac:dyDescent="0.3">
      <c r="F133" s="5">
        <v>127.93138401760167</v>
      </c>
      <c r="G133" s="3">
        <v>132</v>
      </c>
    </row>
    <row r="134" spans="6:7" x14ac:dyDescent="0.3">
      <c r="F134" s="5">
        <v>106.41919989069166</v>
      </c>
      <c r="G134" s="10">
        <v>133</v>
      </c>
    </row>
    <row r="135" spans="6:7" x14ac:dyDescent="0.3">
      <c r="F135" s="5">
        <v>138.72036166222247</v>
      </c>
      <c r="G135" s="3">
        <v>134</v>
      </c>
    </row>
    <row r="136" spans="6:7" x14ac:dyDescent="0.3">
      <c r="F136" s="5">
        <v>141.70957165673562</v>
      </c>
      <c r="G136" s="10">
        <v>135</v>
      </c>
    </row>
    <row r="137" spans="6:7" x14ac:dyDescent="0.3">
      <c r="F137" s="5">
        <v>110.98646194997782</v>
      </c>
      <c r="G137" s="3">
        <v>136</v>
      </c>
    </row>
    <row r="138" spans="6:7" x14ac:dyDescent="0.3">
      <c r="F138" s="5">
        <v>101.13914548573797</v>
      </c>
      <c r="G138" s="10">
        <v>137</v>
      </c>
    </row>
    <row r="139" spans="6:7" x14ac:dyDescent="0.3">
      <c r="F139" s="5">
        <v>153.69442221825565</v>
      </c>
      <c r="G139" s="3">
        <v>138</v>
      </c>
    </row>
    <row r="140" spans="6:7" x14ac:dyDescent="0.3">
      <c r="F140" s="5">
        <v>90.341441394548085</v>
      </c>
      <c r="G140" s="10">
        <v>139</v>
      </c>
    </row>
    <row r="141" spans="6:7" x14ac:dyDescent="0.3">
      <c r="F141" s="5">
        <v>118.49392687395908</v>
      </c>
      <c r="G141" s="3">
        <v>140</v>
      </c>
    </row>
    <row r="142" spans="6:7" x14ac:dyDescent="0.3">
      <c r="F142" s="5">
        <v>69.465475005863382</v>
      </c>
      <c r="G142" s="10">
        <v>141</v>
      </c>
    </row>
    <row r="143" spans="6:7" x14ac:dyDescent="0.3">
      <c r="F143" s="5">
        <v>170.20873244357162</v>
      </c>
      <c r="G143" s="3">
        <v>142</v>
      </c>
    </row>
    <row r="144" spans="6:7" x14ac:dyDescent="0.3">
      <c r="F144" s="5">
        <v>87.262466397238555</v>
      </c>
      <c r="G144" s="10">
        <v>143</v>
      </c>
    </row>
    <row r="145" spans="6:7" x14ac:dyDescent="0.3">
      <c r="F145" s="5">
        <v>156.76117924121172</v>
      </c>
      <c r="G145" s="3">
        <v>144</v>
      </c>
    </row>
    <row r="146" spans="6:7" x14ac:dyDescent="0.3">
      <c r="F146" s="5">
        <v>115.00117914489832</v>
      </c>
      <c r="G146" s="10">
        <v>145</v>
      </c>
    </row>
    <row r="147" spans="6:7" x14ac:dyDescent="0.3">
      <c r="F147" s="5">
        <v>88.88727542033493</v>
      </c>
      <c r="G147" s="3">
        <v>146</v>
      </c>
    </row>
    <row r="148" spans="6:7" x14ac:dyDescent="0.3">
      <c r="F148" s="5">
        <v>88.561988561562416</v>
      </c>
      <c r="G148" s="10">
        <v>147</v>
      </c>
    </row>
    <row r="149" spans="6:7" x14ac:dyDescent="0.3">
      <c r="F149" s="5">
        <v>78.969595428510544</v>
      </c>
      <c r="G149" s="3">
        <v>148</v>
      </c>
    </row>
    <row r="150" spans="6:7" x14ac:dyDescent="0.3">
      <c r="F150" s="5">
        <v>139.20082306738283</v>
      </c>
      <c r="G150" s="10">
        <v>149</v>
      </c>
    </row>
    <row r="151" spans="6:7" x14ac:dyDescent="0.3">
      <c r="F151" s="5">
        <v>80.210052174154498</v>
      </c>
      <c r="G151" s="3">
        <v>150</v>
      </c>
    </row>
    <row r="152" spans="6:7" x14ac:dyDescent="0.3">
      <c r="F152" s="5">
        <v>99.541207225451373</v>
      </c>
      <c r="G152" s="10">
        <v>151</v>
      </c>
    </row>
    <row r="153" spans="6:7" x14ac:dyDescent="0.3">
      <c r="F153" s="5">
        <v>92.45364614688188</v>
      </c>
      <c r="G153" s="3">
        <v>152</v>
      </c>
    </row>
    <row r="154" spans="6:7" x14ac:dyDescent="0.3">
      <c r="F154" s="5">
        <v>68.634414369756229</v>
      </c>
      <c r="G154" s="10">
        <v>153</v>
      </c>
    </row>
    <row r="155" spans="6:7" x14ac:dyDescent="0.3">
      <c r="F155" s="5">
        <v>109.98126014425685</v>
      </c>
      <c r="G155" s="3">
        <v>154</v>
      </c>
    </row>
    <row r="156" spans="6:7" x14ac:dyDescent="0.3">
      <c r="F156" s="5">
        <v>159.2425365101285</v>
      </c>
      <c r="G156" s="10">
        <v>155</v>
      </c>
    </row>
    <row r="157" spans="6:7" x14ac:dyDescent="0.3">
      <c r="F157" s="5">
        <v>99.334311865361016</v>
      </c>
      <c r="G157" s="3">
        <v>156</v>
      </c>
    </row>
    <row r="158" spans="6:7" x14ac:dyDescent="0.3">
      <c r="F158" s="5">
        <v>130.59559213376218</v>
      </c>
      <c r="G158" s="10">
        <v>157</v>
      </c>
    </row>
    <row r="159" spans="6:7" x14ac:dyDescent="0.3">
      <c r="F159" s="5">
        <v>111.55376155432708</v>
      </c>
      <c r="G159" s="3">
        <v>158</v>
      </c>
    </row>
    <row r="160" spans="6:7" x14ac:dyDescent="0.3">
      <c r="F160" s="5">
        <v>115.90858019120084</v>
      </c>
      <c r="G160" s="10">
        <v>159</v>
      </c>
    </row>
    <row r="161" spans="6:7" x14ac:dyDescent="0.3">
      <c r="F161" s="5">
        <v>97.915143110062218</v>
      </c>
      <c r="G161" s="3">
        <v>160</v>
      </c>
    </row>
    <row r="162" spans="6:7" x14ac:dyDescent="0.3">
      <c r="F162" s="5">
        <v>81.87508489646261</v>
      </c>
      <c r="G162" s="10">
        <v>161</v>
      </c>
    </row>
    <row r="163" spans="6:7" x14ac:dyDescent="0.3">
      <c r="F163" s="5">
        <v>55.323963015883862</v>
      </c>
      <c r="G163" s="3">
        <v>162</v>
      </c>
    </row>
    <row r="164" spans="6:7" x14ac:dyDescent="0.3">
      <c r="F164" s="5">
        <v>112.57744983175091</v>
      </c>
      <c r="G164" s="10">
        <v>163</v>
      </c>
    </row>
    <row r="165" spans="6:7" x14ac:dyDescent="0.3">
      <c r="F165" s="5">
        <v>142.20703486587493</v>
      </c>
      <c r="G165" s="3">
        <v>164</v>
      </c>
    </row>
    <row r="166" spans="6:7" x14ac:dyDescent="0.3">
      <c r="F166" s="5">
        <v>100.32132190876489</v>
      </c>
      <c r="G166" s="10">
        <v>165</v>
      </c>
    </row>
    <row r="167" spans="6:7" x14ac:dyDescent="0.3">
      <c r="F167" s="5">
        <v>92.476300399459973</v>
      </c>
      <c r="G167" s="3">
        <v>166</v>
      </c>
    </row>
    <row r="168" spans="6:7" x14ac:dyDescent="0.3">
      <c r="F168" s="5">
        <v>135.19424282209539</v>
      </c>
      <c r="G168" s="10">
        <v>167</v>
      </c>
    </row>
    <row r="169" spans="6:7" x14ac:dyDescent="0.3">
      <c r="F169" s="5">
        <v>138.59578174326813</v>
      </c>
      <c r="G169" s="3">
        <v>168</v>
      </c>
    </row>
    <row r="170" spans="6:7" x14ac:dyDescent="0.3">
      <c r="F170" s="5">
        <v>191.8346777209666</v>
      </c>
      <c r="G170" s="10">
        <v>169</v>
      </c>
    </row>
    <row r="171" spans="6:7" x14ac:dyDescent="0.3">
      <c r="F171" s="5">
        <v>85.189149606278093</v>
      </c>
      <c r="G171" s="3">
        <v>170</v>
      </c>
    </row>
    <row r="172" spans="6:7" x14ac:dyDescent="0.3">
      <c r="F172" s="5">
        <v>111.91329984204006</v>
      </c>
      <c r="G172" s="10">
        <v>171</v>
      </c>
    </row>
    <row r="173" spans="6:7" x14ac:dyDescent="0.3">
      <c r="F173" s="5">
        <v>150.40420975226448</v>
      </c>
      <c r="G173" s="3">
        <v>172</v>
      </c>
    </row>
    <row r="174" spans="6:7" x14ac:dyDescent="0.3">
      <c r="F174" s="5">
        <v>118.08723327210744</v>
      </c>
      <c r="G174" s="10">
        <v>173</v>
      </c>
    </row>
    <row r="175" spans="6:7" x14ac:dyDescent="0.3">
      <c r="F175" s="5">
        <v>114.92934982507428</v>
      </c>
      <c r="G175" s="3">
        <v>174</v>
      </c>
    </row>
    <row r="176" spans="6:7" x14ac:dyDescent="0.3">
      <c r="F176" s="5">
        <v>80.917411892129024</v>
      </c>
      <c r="G176" s="10">
        <v>175</v>
      </c>
    </row>
    <row r="177" spans="6:7" x14ac:dyDescent="0.3">
      <c r="F177" s="5">
        <v>156.06457838824235</v>
      </c>
      <c r="G177" s="3">
        <v>176</v>
      </c>
    </row>
    <row r="178" spans="6:7" x14ac:dyDescent="0.3">
      <c r="F178" s="5">
        <v>99.153000424121501</v>
      </c>
      <c r="G178" s="10">
        <v>177</v>
      </c>
    </row>
    <row r="179" spans="6:7" x14ac:dyDescent="0.3">
      <c r="F179" s="5">
        <v>74.91402473134319</v>
      </c>
      <c r="G179" s="3">
        <v>178</v>
      </c>
    </row>
    <row r="180" spans="6:7" x14ac:dyDescent="0.3">
      <c r="F180" s="5">
        <v>161.591358141863</v>
      </c>
      <c r="G180" s="10">
        <v>179</v>
      </c>
    </row>
    <row r="181" spans="6:7" x14ac:dyDescent="0.3">
      <c r="F181" s="5">
        <v>93.822769280511821</v>
      </c>
      <c r="G181" s="3">
        <v>180</v>
      </c>
    </row>
    <row r="182" spans="6:7" x14ac:dyDescent="0.3">
      <c r="F182" s="5">
        <v>149.75170968797619</v>
      </c>
      <c r="G182" s="10">
        <v>181</v>
      </c>
    </row>
    <row r="183" spans="6:7" x14ac:dyDescent="0.3">
      <c r="F183" s="5">
        <v>76.091151609194782</v>
      </c>
      <c r="G183" s="3">
        <v>182</v>
      </c>
    </row>
    <row r="184" spans="6:7" x14ac:dyDescent="0.3">
      <c r="F184" s="5">
        <v>88.989914076519142</v>
      </c>
      <c r="G184" s="10">
        <v>183</v>
      </c>
    </row>
    <row r="185" spans="6:7" x14ac:dyDescent="0.3">
      <c r="F185" s="5">
        <v>123.35250619710727</v>
      </c>
      <c r="G185" s="3">
        <v>184</v>
      </c>
    </row>
    <row r="186" spans="6:7" x14ac:dyDescent="0.3">
      <c r="F186" s="5">
        <v>97.772549241987477</v>
      </c>
      <c r="G186" s="10">
        <v>185</v>
      </c>
    </row>
    <row r="187" spans="6:7" x14ac:dyDescent="0.3">
      <c r="F187" s="5">
        <v>164.83575352633605</v>
      </c>
      <c r="G187" s="3">
        <v>186</v>
      </c>
    </row>
    <row r="188" spans="6:7" x14ac:dyDescent="0.3">
      <c r="F188" s="5">
        <v>96.465420323282729</v>
      </c>
      <c r="G188" s="10">
        <v>187</v>
      </c>
    </row>
    <row r="189" spans="6:7" x14ac:dyDescent="0.3">
      <c r="F189" s="5">
        <v>113.09605927855394</v>
      </c>
      <c r="G189" s="3">
        <v>188</v>
      </c>
    </row>
    <row r="190" spans="6:7" x14ac:dyDescent="0.3">
      <c r="F190" s="5">
        <v>87.066231980069659</v>
      </c>
      <c r="G190" s="10">
        <v>189</v>
      </c>
    </row>
    <row r="191" spans="6:7" x14ac:dyDescent="0.3">
      <c r="F191" s="5">
        <v>119.54695234276916</v>
      </c>
      <c r="G191" s="3">
        <v>190</v>
      </c>
    </row>
    <row r="192" spans="6:7" x14ac:dyDescent="0.3">
      <c r="F192" s="5">
        <v>118.12215910477505</v>
      </c>
      <c r="G192" s="10">
        <v>191</v>
      </c>
    </row>
    <row r="193" spans="6:7" x14ac:dyDescent="0.3">
      <c r="F193" s="5">
        <v>156.28463072867333</v>
      </c>
      <c r="G193" s="3">
        <v>192</v>
      </c>
    </row>
    <row r="194" spans="6:7" x14ac:dyDescent="0.3">
      <c r="F194" s="5">
        <v>179.23007083685147</v>
      </c>
      <c r="G194" s="10">
        <v>193</v>
      </c>
    </row>
    <row r="195" spans="6:7" x14ac:dyDescent="0.3">
      <c r="F195" s="5">
        <v>88.96247226287737</v>
      </c>
      <c r="G195" s="3">
        <v>194</v>
      </c>
    </row>
    <row r="196" spans="6:7" x14ac:dyDescent="0.3">
      <c r="F196" s="5">
        <v>128.44379530725544</v>
      </c>
      <c r="G196" s="10">
        <v>195</v>
      </c>
    </row>
    <row r="197" spans="6:7" x14ac:dyDescent="0.3">
      <c r="F197" s="5">
        <v>102.48711460223606</v>
      </c>
      <c r="G197" s="3">
        <v>196</v>
      </c>
    </row>
    <row r="198" spans="6:7" x14ac:dyDescent="0.3">
      <c r="F198" s="5">
        <v>112.89584197343318</v>
      </c>
      <c r="G198" s="10">
        <v>197</v>
      </c>
    </row>
    <row r="199" spans="6:7" x14ac:dyDescent="0.3">
      <c r="F199" s="5">
        <v>112.93570146300593</v>
      </c>
      <c r="G199" s="3">
        <v>198</v>
      </c>
    </row>
    <row r="200" spans="6:7" x14ac:dyDescent="0.3">
      <c r="F200" s="5">
        <v>74.742167074019378</v>
      </c>
      <c r="G200" s="10">
        <v>199</v>
      </c>
    </row>
    <row r="201" spans="6:7" x14ac:dyDescent="0.3">
      <c r="F201" s="5">
        <v>124.96222325759005</v>
      </c>
      <c r="G201" s="3">
        <v>200</v>
      </c>
    </row>
    <row r="202" spans="6:7" x14ac:dyDescent="0.3">
      <c r="F202" s="5">
        <v>74.615461874511297</v>
      </c>
      <c r="G202" s="10">
        <v>201</v>
      </c>
    </row>
    <row r="203" spans="6:7" x14ac:dyDescent="0.3">
      <c r="F203" s="5">
        <v>123.44769017575352</v>
      </c>
      <c r="G203" s="3">
        <v>202</v>
      </c>
    </row>
    <row r="204" spans="6:7" x14ac:dyDescent="0.3">
      <c r="F204" s="5">
        <v>94.665256406930169</v>
      </c>
      <c r="G204" s="10">
        <v>203</v>
      </c>
    </row>
    <row r="205" spans="6:7" x14ac:dyDescent="0.3">
      <c r="F205" s="5">
        <v>83.263809659687809</v>
      </c>
      <c r="G205" s="3">
        <v>204</v>
      </c>
    </row>
    <row r="206" spans="6:7" x14ac:dyDescent="0.3">
      <c r="F206" s="5">
        <v>76.010592187501757</v>
      </c>
      <c r="G206" s="10">
        <v>205</v>
      </c>
    </row>
    <row r="207" spans="6:7" x14ac:dyDescent="0.3">
      <c r="F207" s="5">
        <v>125.14298795635581</v>
      </c>
      <c r="G207" s="3">
        <v>206</v>
      </c>
    </row>
    <row r="208" spans="6:7" x14ac:dyDescent="0.3">
      <c r="F208" s="5">
        <v>103.92019111365926</v>
      </c>
      <c r="G208" s="10">
        <v>207</v>
      </c>
    </row>
    <row r="209" spans="6:7" x14ac:dyDescent="0.3">
      <c r="F209" s="5">
        <v>107.22739324633258</v>
      </c>
      <c r="G209" s="3">
        <v>208</v>
      </c>
    </row>
    <row r="210" spans="6:7" x14ac:dyDescent="0.3">
      <c r="F210" s="5">
        <v>118.59437099602974</v>
      </c>
      <c r="G210" s="10">
        <v>209</v>
      </c>
    </row>
    <row r="211" spans="6:7" x14ac:dyDescent="0.3">
      <c r="F211" s="5">
        <v>121.42125345031084</v>
      </c>
      <c r="G211" s="3">
        <v>210</v>
      </c>
    </row>
    <row r="212" spans="6:7" x14ac:dyDescent="0.3">
      <c r="F212" s="5">
        <v>88.524402867732121</v>
      </c>
      <c r="G212" s="10">
        <v>211</v>
      </c>
    </row>
    <row r="213" spans="6:7" x14ac:dyDescent="0.3">
      <c r="F213" s="5">
        <v>80.110979056184178</v>
      </c>
      <c r="G213" s="3">
        <v>212</v>
      </c>
    </row>
    <row r="214" spans="6:7" x14ac:dyDescent="0.3">
      <c r="F214" s="5">
        <v>119.03426063707241</v>
      </c>
      <c r="G214" s="10">
        <v>213</v>
      </c>
    </row>
    <row r="215" spans="6:7" x14ac:dyDescent="0.3">
      <c r="F215" s="5">
        <v>122.41494874914166</v>
      </c>
      <c r="G215" s="3">
        <v>214</v>
      </c>
    </row>
    <row r="216" spans="6:7" x14ac:dyDescent="0.3">
      <c r="F216" s="5">
        <v>71.854260860414669</v>
      </c>
      <c r="G216" s="10">
        <v>215</v>
      </c>
    </row>
    <row r="217" spans="6:7" x14ac:dyDescent="0.3">
      <c r="F217" s="5">
        <v>96.563575757838336</v>
      </c>
      <c r="G217" s="3">
        <v>216</v>
      </c>
    </row>
    <row r="218" spans="6:7" x14ac:dyDescent="0.3">
      <c r="F218" s="5">
        <v>81.264642424825624</v>
      </c>
      <c r="G218" s="10">
        <v>217</v>
      </c>
    </row>
    <row r="219" spans="6:7" x14ac:dyDescent="0.3">
      <c r="F219" s="5">
        <v>77.209162417716897</v>
      </c>
      <c r="G219" s="3">
        <v>218</v>
      </c>
    </row>
    <row r="220" spans="6:7" x14ac:dyDescent="0.3">
      <c r="F220" s="5">
        <v>135.90113789349797</v>
      </c>
      <c r="G220" s="10">
        <v>219</v>
      </c>
    </row>
    <row r="221" spans="6:7" x14ac:dyDescent="0.3">
      <c r="F221" s="5">
        <v>112.73320718542483</v>
      </c>
      <c r="G221" s="3">
        <v>220</v>
      </c>
    </row>
    <row r="222" spans="6:7" x14ac:dyDescent="0.3">
      <c r="F222" s="5">
        <v>73.277728110135769</v>
      </c>
      <c r="G222" s="10">
        <v>221</v>
      </c>
    </row>
    <row r="223" spans="6:7" x14ac:dyDescent="0.3">
      <c r="F223" s="5">
        <v>82.316906695391907</v>
      </c>
      <c r="G223" s="3">
        <v>222</v>
      </c>
    </row>
    <row r="224" spans="6:7" x14ac:dyDescent="0.3">
      <c r="F224" s="5">
        <v>63.787758699647789</v>
      </c>
      <c r="G224" s="10">
        <v>223</v>
      </c>
    </row>
    <row r="225" spans="6:7" x14ac:dyDescent="0.3">
      <c r="F225" s="5">
        <v>78.325151479932657</v>
      </c>
      <c r="G225" s="3">
        <v>224</v>
      </c>
    </row>
    <row r="226" spans="6:7" x14ac:dyDescent="0.3">
      <c r="F226" s="5">
        <v>119.52215844939356</v>
      </c>
      <c r="G226" s="10">
        <v>225</v>
      </c>
    </row>
    <row r="227" spans="6:7" x14ac:dyDescent="0.3">
      <c r="F227" s="5">
        <v>163.33430599309509</v>
      </c>
      <c r="G227" s="3">
        <v>226</v>
      </c>
    </row>
    <row r="228" spans="6:7" x14ac:dyDescent="0.3">
      <c r="F228" s="5">
        <v>77.457902224394601</v>
      </c>
      <c r="G228" s="10">
        <v>227</v>
      </c>
    </row>
    <row r="229" spans="6:7" x14ac:dyDescent="0.3">
      <c r="F229" s="5">
        <v>75.527288513947639</v>
      </c>
      <c r="G229" s="3">
        <v>228</v>
      </c>
    </row>
    <row r="230" spans="6:7" x14ac:dyDescent="0.3">
      <c r="F230" s="5">
        <v>73.855425850002504</v>
      </c>
      <c r="G230" s="10">
        <v>229</v>
      </c>
    </row>
    <row r="231" spans="6:7" x14ac:dyDescent="0.3">
      <c r="F231" s="5">
        <v>95.336240043428901</v>
      </c>
      <c r="G231" s="3">
        <v>230</v>
      </c>
    </row>
    <row r="232" spans="6:7" x14ac:dyDescent="0.3">
      <c r="F232" s="5">
        <v>98.997478729178113</v>
      </c>
      <c r="G232" s="10">
        <v>231</v>
      </c>
    </row>
    <row r="233" spans="6:7" x14ac:dyDescent="0.3">
      <c r="F233" s="5">
        <v>74.420552773124115</v>
      </c>
      <c r="G233" s="3">
        <v>232</v>
      </c>
    </row>
    <row r="234" spans="6:7" x14ac:dyDescent="0.3">
      <c r="F234" s="5">
        <v>70.445647593693707</v>
      </c>
      <c r="G234" s="10">
        <v>233</v>
      </c>
    </row>
    <row r="235" spans="6:7" x14ac:dyDescent="0.3">
      <c r="F235" s="5">
        <v>62.5499439587824</v>
      </c>
      <c r="G235" s="3">
        <v>234</v>
      </c>
    </row>
    <row r="236" spans="6:7" x14ac:dyDescent="0.3">
      <c r="F236" s="5">
        <v>85.431450267242099</v>
      </c>
      <c r="G236" s="10">
        <v>235</v>
      </c>
    </row>
    <row r="237" spans="6:7" x14ac:dyDescent="0.3">
      <c r="F237" s="5">
        <v>116.21894871220744</v>
      </c>
      <c r="G237" s="3">
        <v>236</v>
      </c>
    </row>
    <row r="238" spans="6:7" x14ac:dyDescent="0.3">
      <c r="F238" s="5">
        <v>102.53569084596984</v>
      </c>
      <c r="G238" s="10">
        <v>237</v>
      </c>
    </row>
    <row r="239" spans="6:7" x14ac:dyDescent="0.3">
      <c r="F239" s="5">
        <v>59.160521101383772</v>
      </c>
      <c r="G239" s="3">
        <v>238</v>
      </c>
    </row>
    <row r="240" spans="6:7" x14ac:dyDescent="0.3">
      <c r="F240" s="5">
        <v>142.37846415907541</v>
      </c>
      <c r="G240" s="10">
        <v>239</v>
      </c>
    </row>
    <row r="241" spans="6:7" x14ac:dyDescent="0.3">
      <c r="F241" s="5">
        <v>71.367214681139188</v>
      </c>
      <c r="G241" s="3">
        <v>240</v>
      </c>
    </row>
    <row r="242" spans="6:7" x14ac:dyDescent="0.3">
      <c r="F242" s="5">
        <v>112.65232930088959</v>
      </c>
      <c r="G242" s="10">
        <v>241</v>
      </c>
    </row>
    <row r="243" spans="6:7" x14ac:dyDescent="0.3">
      <c r="F243" s="5">
        <v>126.04427800200362</v>
      </c>
      <c r="G243" s="3">
        <v>242</v>
      </c>
    </row>
    <row r="244" spans="6:7" x14ac:dyDescent="0.3">
      <c r="F244" s="5">
        <v>74.286874405397185</v>
      </c>
      <c r="G244" s="10">
        <v>243</v>
      </c>
    </row>
    <row r="245" spans="6:7" x14ac:dyDescent="0.3">
      <c r="F245" s="5">
        <v>90.063806117913614</v>
      </c>
      <c r="G245" s="3">
        <v>244</v>
      </c>
    </row>
    <row r="246" spans="6:7" x14ac:dyDescent="0.3">
      <c r="F246" s="5">
        <v>121.5777070434122</v>
      </c>
      <c r="G246" s="10">
        <v>245</v>
      </c>
    </row>
    <row r="247" spans="6:7" x14ac:dyDescent="0.3">
      <c r="F247" s="5">
        <v>150.17130388547372</v>
      </c>
      <c r="G247" s="3">
        <v>246</v>
      </c>
    </row>
    <row r="248" spans="6:7" x14ac:dyDescent="0.3">
      <c r="F248" s="5">
        <v>68.37483668647792</v>
      </c>
      <c r="G248" s="10">
        <v>247</v>
      </c>
    </row>
    <row r="249" spans="6:7" x14ac:dyDescent="0.3">
      <c r="F249" s="5">
        <v>166.26730607234302</v>
      </c>
      <c r="G249" s="3">
        <v>248</v>
      </c>
    </row>
    <row r="250" spans="6:7" x14ac:dyDescent="0.3">
      <c r="F250" s="5">
        <v>78.854817130707332</v>
      </c>
      <c r="G250" s="10">
        <v>249</v>
      </c>
    </row>
    <row r="251" spans="6:7" x14ac:dyDescent="0.3">
      <c r="F251" s="5">
        <v>80.533918721966458</v>
      </c>
      <c r="G251" s="3">
        <v>250</v>
      </c>
    </row>
    <row r="252" spans="6:7" x14ac:dyDescent="0.3">
      <c r="F252" s="5">
        <v>76.885880181472345</v>
      </c>
      <c r="G252" s="10">
        <v>251</v>
      </c>
    </row>
    <row r="253" spans="6:7" x14ac:dyDescent="0.3">
      <c r="F253" s="5">
        <v>82.617887947382528</v>
      </c>
      <c r="G253" s="3">
        <v>252</v>
      </c>
    </row>
    <row r="254" spans="6:7" x14ac:dyDescent="0.3">
      <c r="F254" s="5">
        <v>163.48036736942169</v>
      </c>
      <c r="G254" s="10">
        <v>253</v>
      </c>
    </row>
    <row r="255" spans="6:7" x14ac:dyDescent="0.3">
      <c r="F255" s="5">
        <v>90.527559061461517</v>
      </c>
      <c r="G255" s="3">
        <v>254</v>
      </c>
    </row>
    <row r="256" spans="6:7" x14ac:dyDescent="0.3">
      <c r="F256" s="5">
        <v>62.71522136787403</v>
      </c>
      <c r="G256" s="10">
        <v>255</v>
      </c>
    </row>
    <row r="257" spans="6:7" x14ac:dyDescent="0.3">
      <c r="F257" s="5">
        <v>92.843300997768722</v>
      </c>
      <c r="G257" s="3">
        <v>256</v>
      </c>
    </row>
    <row r="258" spans="6:7" x14ac:dyDescent="0.3">
      <c r="F258" s="5">
        <v>94.652132480143464</v>
      </c>
      <c r="G258" s="10">
        <v>257</v>
      </c>
    </row>
    <row r="259" spans="6:7" x14ac:dyDescent="0.3">
      <c r="F259" s="5">
        <v>104.52199560539991</v>
      </c>
      <c r="G259" s="3">
        <v>258</v>
      </c>
    </row>
    <row r="260" spans="6:7" x14ac:dyDescent="0.3">
      <c r="F260" s="5">
        <v>77.563806281357671</v>
      </c>
      <c r="G260" s="10">
        <v>259</v>
      </c>
    </row>
    <row r="261" spans="6:7" x14ac:dyDescent="0.3">
      <c r="F261" s="5">
        <v>77.533033022290766</v>
      </c>
      <c r="G261" s="3">
        <v>260</v>
      </c>
    </row>
    <row r="262" spans="6:7" x14ac:dyDescent="0.3">
      <c r="F262" s="5">
        <v>76.377215461999484</v>
      </c>
      <c r="G262" s="10">
        <v>261</v>
      </c>
    </row>
    <row r="263" spans="6:7" x14ac:dyDescent="0.3">
      <c r="F263" s="5">
        <v>88.499927281612543</v>
      </c>
      <c r="G263" s="3">
        <v>262</v>
      </c>
    </row>
    <row r="264" spans="6:7" x14ac:dyDescent="0.3">
      <c r="F264" s="5">
        <v>99.045786669329331</v>
      </c>
      <c r="G264" s="10">
        <v>263</v>
      </c>
    </row>
    <row r="265" spans="6:7" x14ac:dyDescent="0.3">
      <c r="F265" s="5">
        <v>140.45972921264215</v>
      </c>
      <c r="G265" s="3">
        <v>264</v>
      </c>
    </row>
    <row r="266" spans="6:7" x14ac:dyDescent="0.3">
      <c r="F266" s="5">
        <v>78.609657919719837</v>
      </c>
      <c r="G266" s="10">
        <v>265</v>
      </c>
    </row>
    <row r="267" spans="6:7" x14ac:dyDescent="0.3">
      <c r="F267" s="5">
        <v>131.0692033874561</v>
      </c>
      <c r="G267" s="3">
        <v>266</v>
      </c>
    </row>
    <row r="268" spans="6:7" x14ac:dyDescent="0.3">
      <c r="F268" s="5">
        <v>134.42715983141014</v>
      </c>
      <c r="G268" s="10">
        <v>267</v>
      </c>
    </row>
    <row r="269" spans="6:7" x14ac:dyDescent="0.3">
      <c r="F269" s="5">
        <v>158.92114774347979</v>
      </c>
      <c r="G269" s="3">
        <v>268</v>
      </c>
    </row>
    <row r="270" spans="6:7" x14ac:dyDescent="0.3">
      <c r="F270" s="5">
        <v>74.718627540663576</v>
      </c>
      <c r="G270" s="10">
        <v>269</v>
      </c>
    </row>
    <row r="271" spans="6:7" x14ac:dyDescent="0.3">
      <c r="F271" s="5">
        <v>133.47903023106767</v>
      </c>
      <c r="G271" s="3">
        <v>270</v>
      </c>
    </row>
    <row r="272" spans="6:7" x14ac:dyDescent="0.3">
      <c r="F272" s="5">
        <v>99.396312769154491</v>
      </c>
      <c r="G272" s="10">
        <v>271</v>
      </c>
    </row>
    <row r="273" spans="6:7" x14ac:dyDescent="0.3">
      <c r="F273" s="5">
        <v>68.266444022143219</v>
      </c>
      <c r="G273" s="3">
        <v>272</v>
      </c>
    </row>
    <row r="274" spans="6:7" x14ac:dyDescent="0.3">
      <c r="F274" s="5">
        <v>76.30522608459431</v>
      </c>
      <c r="G274" s="10">
        <v>273</v>
      </c>
    </row>
    <row r="275" spans="6:7" x14ac:dyDescent="0.3">
      <c r="F275" s="5">
        <v>72.707304322953348</v>
      </c>
      <c r="G275" s="3">
        <v>274</v>
      </c>
    </row>
    <row r="276" spans="6:7" x14ac:dyDescent="0.3">
      <c r="F276" s="5">
        <v>89.310126967922685</v>
      </c>
      <c r="G276" s="10">
        <v>275</v>
      </c>
    </row>
    <row r="277" spans="6:7" x14ac:dyDescent="0.3">
      <c r="F277" s="5">
        <v>72.099714539216649</v>
      </c>
      <c r="G277" s="3">
        <v>276</v>
      </c>
    </row>
    <row r="278" spans="6:7" x14ac:dyDescent="0.3">
      <c r="F278" s="5">
        <v>128.80277294179044</v>
      </c>
      <c r="G278" s="10">
        <v>277</v>
      </c>
    </row>
    <row r="279" spans="6:7" x14ac:dyDescent="0.3">
      <c r="F279" s="5">
        <v>117.90777457907539</v>
      </c>
      <c r="G279" s="3">
        <v>278</v>
      </c>
    </row>
    <row r="280" spans="6:7" x14ac:dyDescent="0.3">
      <c r="F280" s="5">
        <v>134.59294144254994</v>
      </c>
      <c r="G280" s="10">
        <v>279</v>
      </c>
    </row>
    <row r="281" spans="6:7" x14ac:dyDescent="0.3">
      <c r="F281" s="5">
        <v>107.86119119045721</v>
      </c>
      <c r="G281" s="3">
        <v>280</v>
      </c>
    </row>
    <row r="282" spans="6:7" x14ac:dyDescent="0.3">
      <c r="F282" s="5">
        <v>200.67277943564557</v>
      </c>
      <c r="G282" s="10">
        <v>281</v>
      </c>
    </row>
    <row r="283" spans="6:7" x14ac:dyDescent="0.3">
      <c r="F283" s="5">
        <v>79.119692445541133</v>
      </c>
      <c r="G283" s="3">
        <v>282</v>
      </c>
    </row>
    <row r="284" spans="6:7" x14ac:dyDescent="0.3">
      <c r="F284" s="5">
        <v>98.83746201240163</v>
      </c>
      <c r="G284" s="10">
        <v>283</v>
      </c>
    </row>
    <row r="285" spans="6:7" x14ac:dyDescent="0.3">
      <c r="F285" s="5">
        <v>76.238767165765509</v>
      </c>
      <c r="G285" s="3">
        <v>284</v>
      </c>
    </row>
    <row r="286" spans="6:7" x14ac:dyDescent="0.3">
      <c r="F286" s="5">
        <v>69.121834649281382</v>
      </c>
      <c r="G286" s="10">
        <v>285</v>
      </c>
    </row>
    <row r="287" spans="6:7" x14ac:dyDescent="0.3">
      <c r="F287" s="5">
        <v>66.180743830073084</v>
      </c>
      <c r="G287" s="3">
        <v>286</v>
      </c>
    </row>
    <row r="288" spans="6:7" x14ac:dyDescent="0.3">
      <c r="F288" s="5">
        <v>119.26990662474603</v>
      </c>
      <c r="G288" s="10">
        <v>287</v>
      </c>
    </row>
    <row r="289" spans="6:7" x14ac:dyDescent="0.3">
      <c r="F289" s="5">
        <v>74.497068809991433</v>
      </c>
      <c r="G289" s="3">
        <v>288</v>
      </c>
    </row>
    <row r="290" spans="6:7" x14ac:dyDescent="0.3">
      <c r="F290" s="5">
        <v>98.898789448816572</v>
      </c>
      <c r="G290" s="10">
        <v>289</v>
      </c>
    </row>
    <row r="291" spans="6:7" x14ac:dyDescent="0.3">
      <c r="F291" s="5">
        <v>103.15963864814083</v>
      </c>
      <c r="G291" s="3">
        <v>290</v>
      </c>
    </row>
    <row r="292" spans="6:7" x14ac:dyDescent="0.3">
      <c r="F292" s="5">
        <v>98.624720832624106</v>
      </c>
      <c r="G292" s="10">
        <v>291</v>
      </c>
    </row>
    <row r="293" spans="6:7" x14ac:dyDescent="0.3">
      <c r="F293" s="5">
        <v>69.15420498258618</v>
      </c>
      <c r="G293" s="3">
        <v>292</v>
      </c>
    </row>
    <row r="294" spans="6:7" x14ac:dyDescent="0.3">
      <c r="F294" s="5">
        <v>102.72743957122304</v>
      </c>
      <c r="G294" s="10">
        <v>293</v>
      </c>
    </row>
    <row r="295" spans="6:7" x14ac:dyDescent="0.3">
      <c r="F295" s="5">
        <v>77.871131404220918</v>
      </c>
      <c r="G295" s="3">
        <v>294</v>
      </c>
    </row>
    <row r="296" spans="6:7" x14ac:dyDescent="0.3">
      <c r="F296" s="5">
        <v>161.23314320796973</v>
      </c>
      <c r="G296" s="10">
        <v>295</v>
      </c>
    </row>
    <row r="297" spans="6:7" x14ac:dyDescent="0.3">
      <c r="F297" s="5">
        <v>137.86960469033031</v>
      </c>
      <c r="G297" s="3">
        <v>296</v>
      </c>
    </row>
    <row r="298" spans="6:7" x14ac:dyDescent="0.3">
      <c r="F298" s="5">
        <v>79.17226532744931</v>
      </c>
      <c r="G298" s="10">
        <v>297</v>
      </c>
    </row>
    <row r="299" spans="6:7" x14ac:dyDescent="0.3">
      <c r="F299" s="5">
        <v>137.88929372102865</v>
      </c>
      <c r="G299" s="3">
        <v>298</v>
      </c>
    </row>
    <row r="300" spans="6:7" x14ac:dyDescent="0.3">
      <c r="F300" s="5">
        <v>92.848615246412919</v>
      </c>
      <c r="G300" s="10">
        <v>299</v>
      </c>
    </row>
    <row r="301" spans="6:7" x14ac:dyDescent="0.3">
      <c r="F301" s="5">
        <v>79.661308582189164</v>
      </c>
      <c r="G301" s="3">
        <v>300</v>
      </c>
    </row>
    <row r="302" spans="6:7" x14ac:dyDescent="0.3">
      <c r="F302" s="5">
        <v>103.34795863917454</v>
      </c>
      <c r="G302" s="10">
        <v>301</v>
      </c>
    </row>
    <row r="303" spans="6:7" x14ac:dyDescent="0.3">
      <c r="F303" s="5">
        <v>76.747930197757015</v>
      </c>
      <c r="G303" s="3">
        <v>302</v>
      </c>
    </row>
    <row r="304" spans="6:7" x14ac:dyDescent="0.3">
      <c r="F304" s="5">
        <v>111.19979188866098</v>
      </c>
      <c r="G304" s="10">
        <v>303</v>
      </c>
    </row>
    <row r="305" spans="6:7" x14ac:dyDescent="0.3">
      <c r="F305" s="5">
        <v>117.74795518711605</v>
      </c>
      <c r="G305" s="3">
        <v>304</v>
      </c>
    </row>
    <row r="306" spans="6:7" x14ac:dyDescent="0.3">
      <c r="F306" s="5">
        <v>86.031279679830263</v>
      </c>
      <c r="G306" s="10">
        <v>305</v>
      </c>
    </row>
    <row r="307" spans="6:7" x14ac:dyDescent="0.3">
      <c r="F307" s="5">
        <v>102.40777166904013</v>
      </c>
      <c r="G307" s="3">
        <v>306</v>
      </c>
    </row>
    <row r="308" spans="6:7" x14ac:dyDescent="0.3">
      <c r="F308" s="5">
        <v>113.698246587358</v>
      </c>
      <c r="G308" s="10">
        <v>307</v>
      </c>
    </row>
    <row r="309" spans="6:7" x14ac:dyDescent="0.3">
      <c r="F309" s="5">
        <v>103.77256000108008</v>
      </c>
      <c r="G309" s="3">
        <v>308</v>
      </c>
    </row>
    <row r="310" spans="6:7" x14ac:dyDescent="0.3">
      <c r="F310" s="5">
        <v>144.22236557060302</v>
      </c>
      <c r="G310" s="10">
        <v>309</v>
      </c>
    </row>
    <row r="311" spans="6:7" x14ac:dyDescent="0.3">
      <c r="F311" s="5">
        <v>143.91540082317371</v>
      </c>
      <c r="G311" s="3">
        <v>310</v>
      </c>
    </row>
    <row r="312" spans="6:7" x14ac:dyDescent="0.3">
      <c r="F312" s="5">
        <v>144.44176732162654</v>
      </c>
      <c r="G312" s="10">
        <v>311</v>
      </c>
    </row>
    <row r="313" spans="6:7" x14ac:dyDescent="0.3">
      <c r="F313" s="5">
        <v>79.183006893693388</v>
      </c>
      <c r="G313" s="3">
        <v>312</v>
      </c>
    </row>
    <row r="314" spans="6:7" x14ac:dyDescent="0.3">
      <c r="F314" s="5">
        <v>106.96554503481735</v>
      </c>
      <c r="G314" s="10">
        <v>313</v>
      </c>
    </row>
    <row r="315" spans="6:7" x14ac:dyDescent="0.3">
      <c r="F315" s="5">
        <v>157.26994848993155</v>
      </c>
      <c r="G315" s="3">
        <v>314</v>
      </c>
    </row>
    <row r="316" spans="6:7" x14ac:dyDescent="0.3">
      <c r="F316" s="5">
        <v>89.365189324415169</v>
      </c>
      <c r="G316" s="10">
        <v>315</v>
      </c>
    </row>
    <row r="317" spans="6:7" x14ac:dyDescent="0.3">
      <c r="F317" s="5">
        <v>149.13469007519018</v>
      </c>
      <c r="G317" s="3">
        <v>316</v>
      </c>
    </row>
    <row r="318" spans="6:7" x14ac:dyDescent="0.3">
      <c r="F318" s="5">
        <v>87.6761752225175</v>
      </c>
      <c r="G318" s="10">
        <v>317</v>
      </c>
    </row>
    <row r="319" spans="6:7" x14ac:dyDescent="0.3">
      <c r="F319" s="5">
        <v>75.560880860770141</v>
      </c>
      <c r="G319" s="3">
        <v>318</v>
      </c>
    </row>
    <row r="320" spans="6:7" x14ac:dyDescent="0.3">
      <c r="F320" s="5">
        <v>133.45234163174328</v>
      </c>
      <c r="G320" s="10">
        <v>319</v>
      </c>
    </row>
    <row r="321" spans="6:7" x14ac:dyDescent="0.3">
      <c r="F321" s="5">
        <v>76.130830745302276</v>
      </c>
      <c r="G321" s="3">
        <v>320</v>
      </c>
    </row>
    <row r="322" spans="6:7" x14ac:dyDescent="0.3">
      <c r="F322" s="5">
        <v>119.34322934613571</v>
      </c>
      <c r="G322" s="10">
        <v>321</v>
      </c>
    </row>
    <row r="323" spans="6:7" x14ac:dyDescent="0.3">
      <c r="F323" s="5">
        <v>88.475032578690175</v>
      </c>
      <c r="G323" s="3">
        <v>322</v>
      </c>
    </row>
    <row r="324" spans="6:7" x14ac:dyDescent="0.3">
      <c r="F324" s="5">
        <v>79.055613103034133</v>
      </c>
      <c r="G324" s="10">
        <v>323</v>
      </c>
    </row>
    <row r="325" spans="6:7" x14ac:dyDescent="0.3">
      <c r="F325" s="5">
        <v>80.800136126557049</v>
      </c>
      <c r="G325" s="3">
        <v>324</v>
      </c>
    </row>
    <row r="326" spans="6:7" x14ac:dyDescent="0.3">
      <c r="F326" s="5">
        <v>82.322276137183366</v>
      </c>
      <c r="G326" s="10">
        <v>325</v>
      </c>
    </row>
    <row r="327" spans="6:7" x14ac:dyDescent="0.3">
      <c r="F327" s="5">
        <v>82.804123742440083</v>
      </c>
      <c r="G327" s="3">
        <v>326</v>
      </c>
    </row>
    <row r="328" spans="6:7" x14ac:dyDescent="0.3">
      <c r="F328" s="5">
        <v>115.78351262855347</v>
      </c>
      <c r="G328" s="10">
        <v>327</v>
      </c>
    </row>
    <row r="329" spans="6:7" x14ac:dyDescent="0.3">
      <c r="F329" s="5">
        <v>90.84866356197243</v>
      </c>
      <c r="G329" s="3">
        <v>328</v>
      </c>
    </row>
    <row r="330" spans="6:7" x14ac:dyDescent="0.3">
      <c r="F330" s="5">
        <v>98.241810807934712</v>
      </c>
      <c r="G330" s="10">
        <v>329</v>
      </c>
    </row>
    <row r="331" spans="6:7" x14ac:dyDescent="0.3">
      <c r="F331" s="5">
        <v>78.177696443402127</v>
      </c>
      <c r="G331" s="3">
        <v>330</v>
      </c>
    </row>
    <row r="332" spans="6:7" x14ac:dyDescent="0.3">
      <c r="F332" s="5">
        <v>154.82168679978139</v>
      </c>
      <c r="G332" s="10">
        <v>331</v>
      </c>
    </row>
    <row r="333" spans="6:7" x14ac:dyDescent="0.3">
      <c r="F333" s="5">
        <v>97.896529036539889</v>
      </c>
      <c r="G333" s="3">
        <v>332</v>
      </c>
    </row>
    <row r="334" spans="6:7" x14ac:dyDescent="0.3">
      <c r="F334" s="5">
        <v>119.91261448079408</v>
      </c>
      <c r="G334" s="10">
        <v>333</v>
      </c>
    </row>
    <row r="335" spans="6:7" x14ac:dyDescent="0.3">
      <c r="F335" s="5">
        <v>73.379851461134322</v>
      </c>
      <c r="G335" s="3">
        <v>334</v>
      </c>
    </row>
    <row r="336" spans="6:7" x14ac:dyDescent="0.3">
      <c r="F336" s="5">
        <v>71.249044280277531</v>
      </c>
      <c r="G336" s="10">
        <v>335</v>
      </c>
    </row>
    <row r="337" spans="6:7" x14ac:dyDescent="0.3">
      <c r="F337" s="5">
        <v>77.863515578894877</v>
      </c>
      <c r="G337" s="3">
        <v>336</v>
      </c>
    </row>
    <row r="338" spans="6:7" x14ac:dyDescent="0.3">
      <c r="F338" s="5">
        <v>95.742607484227037</v>
      </c>
      <c r="G338" s="10">
        <v>337</v>
      </c>
    </row>
    <row r="339" spans="6:7" x14ac:dyDescent="0.3">
      <c r="F339" s="5">
        <v>91.876906199914487</v>
      </c>
      <c r="G339" s="3">
        <v>338</v>
      </c>
    </row>
    <row r="340" spans="6:7" x14ac:dyDescent="0.3">
      <c r="F340" s="5">
        <v>130.98575527024752</v>
      </c>
      <c r="G340" s="10">
        <v>339</v>
      </c>
    </row>
    <row r="341" spans="6:7" x14ac:dyDescent="0.3">
      <c r="F341" s="5">
        <v>77.298432510839731</v>
      </c>
      <c r="G341" s="3">
        <v>340</v>
      </c>
    </row>
    <row r="342" spans="6:7" x14ac:dyDescent="0.3">
      <c r="F342" s="5">
        <v>107.66381662538886</v>
      </c>
      <c r="G342" s="10">
        <v>341</v>
      </c>
    </row>
    <row r="343" spans="6:7" x14ac:dyDescent="0.3">
      <c r="F343" s="5">
        <v>146.13926800651922</v>
      </c>
      <c r="G343" s="3">
        <v>342</v>
      </c>
    </row>
    <row r="344" spans="6:7" x14ac:dyDescent="0.3">
      <c r="F344" s="5">
        <v>91.811004054290308</v>
      </c>
      <c r="G344" s="10">
        <v>343</v>
      </c>
    </row>
    <row r="345" spans="6:7" x14ac:dyDescent="0.3">
      <c r="F345" s="5">
        <v>67.139589883774022</v>
      </c>
      <c r="G345" s="3">
        <v>344</v>
      </c>
    </row>
    <row r="346" spans="6:7" x14ac:dyDescent="0.3">
      <c r="F346" s="5">
        <v>88.26376380196686</v>
      </c>
      <c r="G346" s="10">
        <v>345</v>
      </c>
    </row>
    <row r="347" spans="6:7" x14ac:dyDescent="0.3">
      <c r="F347" s="5">
        <v>124.68547241900275</v>
      </c>
      <c r="G347" s="3">
        <v>346</v>
      </c>
    </row>
    <row r="348" spans="6:7" x14ac:dyDescent="0.3">
      <c r="F348" s="5">
        <v>139.579096208262</v>
      </c>
      <c r="G348" s="10">
        <v>347</v>
      </c>
    </row>
    <row r="349" spans="6:7" x14ac:dyDescent="0.3">
      <c r="F349" s="5">
        <v>83.222346684377698</v>
      </c>
      <c r="G349" s="3">
        <v>348</v>
      </c>
    </row>
    <row r="350" spans="6:7" x14ac:dyDescent="0.3">
      <c r="F350" s="5">
        <v>77.408166907264061</v>
      </c>
      <c r="G350" s="10">
        <v>349</v>
      </c>
    </row>
    <row r="351" spans="6:7" x14ac:dyDescent="0.3">
      <c r="F351" s="5">
        <v>107.29730409087956</v>
      </c>
      <c r="G351" s="3">
        <v>350</v>
      </c>
    </row>
    <row r="352" spans="6:7" x14ac:dyDescent="0.3">
      <c r="F352" s="5">
        <v>78.232342186706802</v>
      </c>
      <c r="G352" s="10">
        <v>351</v>
      </c>
    </row>
    <row r="353" spans="6:7" x14ac:dyDescent="0.3">
      <c r="F353" s="5">
        <v>78.472952946709455</v>
      </c>
      <c r="G353" s="3">
        <v>352</v>
      </c>
    </row>
    <row r="354" spans="6:7" x14ac:dyDescent="0.3">
      <c r="F354" s="5">
        <v>75.330584158667293</v>
      </c>
      <c r="G354" s="10">
        <v>353</v>
      </c>
    </row>
    <row r="355" spans="6:7" x14ac:dyDescent="0.3">
      <c r="F355" s="5">
        <v>118.32852815705476</v>
      </c>
      <c r="G355" s="3">
        <v>354</v>
      </c>
    </row>
    <row r="356" spans="6:7" x14ac:dyDescent="0.3">
      <c r="F356" s="5">
        <v>184.76112570654689</v>
      </c>
      <c r="G356" s="10">
        <v>355</v>
      </c>
    </row>
    <row r="357" spans="6:7" x14ac:dyDescent="0.3">
      <c r="F357" s="5">
        <v>127.99535446266623</v>
      </c>
      <c r="G357" s="3">
        <v>356</v>
      </c>
    </row>
    <row r="358" spans="6:7" x14ac:dyDescent="0.3">
      <c r="F358" s="5">
        <v>165.5798273312441</v>
      </c>
      <c r="G358" s="10">
        <v>357</v>
      </c>
    </row>
    <row r="359" spans="6:7" x14ac:dyDescent="0.3">
      <c r="F359" s="5">
        <v>138.67807323817394</v>
      </c>
      <c r="G359" s="3">
        <v>358</v>
      </c>
    </row>
    <row r="360" spans="6:7" x14ac:dyDescent="0.3">
      <c r="F360" s="5">
        <v>82.458385678508975</v>
      </c>
      <c r="G360" s="10">
        <v>359</v>
      </c>
    </row>
    <row r="361" spans="6:7" x14ac:dyDescent="0.3">
      <c r="F361" s="5">
        <v>136.40310694249851</v>
      </c>
      <c r="G361" s="3">
        <v>360</v>
      </c>
    </row>
    <row r="362" spans="6:7" x14ac:dyDescent="0.3">
      <c r="F362" s="5">
        <v>163.29422432371288</v>
      </c>
      <c r="G362" s="10">
        <v>361</v>
      </c>
    </row>
    <row r="363" spans="6:7" x14ac:dyDescent="0.3">
      <c r="F363" s="5">
        <v>64.73121463295351</v>
      </c>
      <c r="G363" s="3">
        <v>362</v>
      </c>
    </row>
    <row r="364" spans="6:7" x14ac:dyDescent="0.3">
      <c r="F364" s="5">
        <v>121.03014743272949</v>
      </c>
      <c r="G364" s="10">
        <v>363</v>
      </c>
    </row>
    <row r="365" spans="6:7" x14ac:dyDescent="0.3">
      <c r="F365" s="5">
        <v>89.365889753686616</v>
      </c>
      <c r="G365" s="3">
        <v>364</v>
      </c>
    </row>
    <row r="366" spans="6:7" x14ac:dyDescent="0.3">
      <c r="F366" s="5">
        <v>125.63277870992133</v>
      </c>
      <c r="G366" s="10">
        <v>365</v>
      </c>
    </row>
    <row r="367" spans="6:7" x14ac:dyDescent="0.3">
      <c r="F367" s="5">
        <v>119.40058650040355</v>
      </c>
      <c r="G367" s="3">
        <v>366</v>
      </c>
    </row>
    <row r="368" spans="6:7" x14ac:dyDescent="0.3">
      <c r="F368" s="5">
        <v>104.75558932155243</v>
      </c>
      <c r="G368" s="10">
        <v>367</v>
      </c>
    </row>
    <row r="369" spans="6:7" x14ac:dyDescent="0.3">
      <c r="F369" s="5">
        <v>135.33791596561392</v>
      </c>
      <c r="G369" s="3">
        <v>368</v>
      </c>
    </row>
    <row r="370" spans="6:7" x14ac:dyDescent="0.3">
      <c r="F370" s="5">
        <v>136.01691250815773</v>
      </c>
      <c r="G370" s="10">
        <v>369</v>
      </c>
    </row>
    <row r="371" spans="6:7" x14ac:dyDescent="0.3">
      <c r="F371" s="5">
        <v>154.77371573550738</v>
      </c>
      <c r="G371" s="3">
        <v>370</v>
      </c>
    </row>
    <row r="372" spans="6:7" x14ac:dyDescent="0.3">
      <c r="F372" s="5">
        <v>87.849441642849641</v>
      </c>
      <c r="G372" s="10">
        <v>371</v>
      </c>
    </row>
    <row r="373" spans="6:7" x14ac:dyDescent="0.3">
      <c r="F373" s="5">
        <v>172.50032552465612</v>
      </c>
      <c r="G373" s="3">
        <v>372</v>
      </c>
    </row>
    <row r="374" spans="6:7" x14ac:dyDescent="0.3">
      <c r="F374" s="5">
        <v>91.258170733987484</v>
      </c>
      <c r="G374" s="10">
        <v>373</v>
      </c>
    </row>
    <row r="375" spans="6:7" x14ac:dyDescent="0.3">
      <c r="F375" s="5">
        <v>144.41567711182921</v>
      </c>
      <c r="G375" s="3">
        <v>374</v>
      </c>
    </row>
    <row r="376" spans="6:7" x14ac:dyDescent="0.3">
      <c r="F376" s="5">
        <v>120.09156045028362</v>
      </c>
      <c r="G376" s="10">
        <v>375</v>
      </c>
    </row>
    <row r="377" spans="6:7" x14ac:dyDescent="0.3">
      <c r="F377" s="5">
        <v>151.39641797168451</v>
      </c>
      <c r="G377" s="3">
        <v>376</v>
      </c>
    </row>
    <row r="378" spans="6:7" x14ac:dyDescent="0.3">
      <c r="F378" s="5">
        <v>78.648623381201844</v>
      </c>
      <c r="G378" s="10">
        <v>377</v>
      </c>
    </row>
    <row r="379" spans="6:7" x14ac:dyDescent="0.3">
      <c r="F379" s="5">
        <v>92.885749942740844</v>
      </c>
      <c r="G379" s="3">
        <v>378</v>
      </c>
    </row>
    <row r="380" spans="6:7" x14ac:dyDescent="0.3">
      <c r="F380" s="5">
        <v>110.88890405671511</v>
      </c>
      <c r="G380" s="10">
        <v>379</v>
      </c>
    </row>
    <row r="381" spans="6:7" x14ac:dyDescent="0.3">
      <c r="F381" s="5">
        <v>147.73918677513444</v>
      </c>
      <c r="G381" s="3">
        <v>380</v>
      </c>
    </row>
    <row r="382" spans="6:7" x14ac:dyDescent="0.3">
      <c r="F382" s="5">
        <v>77.584793607448361</v>
      </c>
      <c r="G382" s="10">
        <v>381</v>
      </c>
    </row>
    <row r="383" spans="6:7" x14ac:dyDescent="0.3">
      <c r="F383" s="5">
        <v>109.84421989784124</v>
      </c>
      <c r="G383" s="3">
        <v>382</v>
      </c>
    </row>
    <row r="384" spans="6:7" x14ac:dyDescent="0.3">
      <c r="F384" s="5">
        <v>174.06222909570138</v>
      </c>
      <c r="G384" s="10">
        <v>383</v>
      </c>
    </row>
    <row r="385" spans="6:7" x14ac:dyDescent="0.3">
      <c r="F385" s="5">
        <v>107.70124811492921</v>
      </c>
      <c r="G385" s="3">
        <v>384</v>
      </c>
    </row>
    <row r="386" spans="6:7" x14ac:dyDescent="0.3">
      <c r="F386" s="5">
        <v>137.148446973386</v>
      </c>
      <c r="G386" s="10">
        <v>385</v>
      </c>
    </row>
    <row r="387" spans="6:7" x14ac:dyDescent="0.3">
      <c r="F387" s="5">
        <v>142.64382139113346</v>
      </c>
      <c r="G387" s="3">
        <v>386</v>
      </c>
    </row>
    <row r="388" spans="6:7" x14ac:dyDescent="0.3">
      <c r="F388" s="5">
        <v>93.239054511324213</v>
      </c>
      <c r="G388" s="10">
        <v>387</v>
      </c>
    </row>
    <row r="389" spans="6:7" x14ac:dyDescent="0.3">
      <c r="F389" s="5">
        <v>73.998928680577691</v>
      </c>
      <c r="G389" s="3">
        <v>388</v>
      </c>
    </row>
    <row r="390" spans="6:7" x14ac:dyDescent="0.3">
      <c r="F390" s="5">
        <v>73.908955753929845</v>
      </c>
      <c r="G390" s="10">
        <v>389</v>
      </c>
    </row>
    <row r="391" spans="6:7" x14ac:dyDescent="0.3">
      <c r="F391" s="5">
        <v>81.048018769444056</v>
      </c>
      <c r="G391" s="3">
        <v>390</v>
      </c>
    </row>
    <row r="392" spans="6:7" x14ac:dyDescent="0.3">
      <c r="F392" s="5">
        <v>140.26589566955744</v>
      </c>
      <c r="G392" s="10">
        <v>391</v>
      </c>
    </row>
    <row r="393" spans="6:7" x14ac:dyDescent="0.3">
      <c r="F393" s="5">
        <v>82.866477333421599</v>
      </c>
      <c r="G393" s="3">
        <v>392</v>
      </c>
    </row>
    <row r="394" spans="6:7" x14ac:dyDescent="0.3">
      <c r="F394" s="5">
        <v>196.25531750279839</v>
      </c>
      <c r="G394" s="10">
        <v>393</v>
      </c>
    </row>
    <row r="395" spans="6:7" x14ac:dyDescent="0.3">
      <c r="F395" s="5">
        <v>113.12101484565319</v>
      </c>
      <c r="G395" s="3">
        <v>394</v>
      </c>
    </row>
    <row r="396" spans="6:7" x14ac:dyDescent="0.3">
      <c r="F396" s="5">
        <v>113.28591700077612</v>
      </c>
      <c r="G396" s="10">
        <v>395</v>
      </c>
    </row>
    <row r="397" spans="6:7" x14ac:dyDescent="0.3">
      <c r="F397" s="5">
        <v>169.14754955012287</v>
      </c>
      <c r="G397" s="3">
        <v>396</v>
      </c>
    </row>
    <row r="398" spans="6:7" x14ac:dyDescent="0.3">
      <c r="F398" s="5">
        <v>75.360455833455148</v>
      </c>
      <c r="G398" s="10">
        <v>397</v>
      </c>
    </row>
    <row r="399" spans="6:7" x14ac:dyDescent="0.3">
      <c r="F399" s="5">
        <v>65.840497456482936</v>
      </c>
      <c r="G399" s="3">
        <v>398</v>
      </c>
    </row>
    <row r="400" spans="6:7" x14ac:dyDescent="0.3">
      <c r="F400" s="5">
        <v>78.121064864762872</v>
      </c>
      <c r="G400" s="10">
        <v>399</v>
      </c>
    </row>
    <row r="401" spans="6:7" x14ac:dyDescent="0.3">
      <c r="F401" s="5">
        <v>74.834089279578905</v>
      </c>
      <c r="G401" s="3">
        <v>400</v>
      </c>
    </row>
    <row r="402" spans="6:7" x14ac:dyDescent="0.3">
      <c r="F402" s="5">
        <v>74.23474030866285</v>
      </c>
      <c r="G402" s="10">
        <v>401</v>
      </c>
    </row>
    <row r="403" spans="6:7" x14ac:dyDescent="0.3">
      <c r="F403" s="5">
        <v>126.91539423534618</v>
      </c>
      <c r="G403" s="3">
        <v>402</v>
      </c>
    </row>
    <row r="404" spans="6:7" x14ac:dyDescent="0.3">
      <c r="F404" s="5">
        <v>114.07152971525588</v>
      </c>
      <c r="G404" s="10">
        <v>403</v>
      </c>
    </row>
    <row r="405" spans="6:7" x14ac:dyDescent="0.3">
      <c r="F405" s="5">
        <v>77.565055666012725</v>
      </c>
      <c r="G405" s="3">
        <v>404</v>
      </c>
    </row>
    <row r="406" spans="6:7" x14ac:dyDescent="0.3">
      <c r="F406" s="5">
        <v>96.183677146126087</v>
      </c>
      <c r="G406" s="10">
        <v>405</v>
      </c>
    </row>
    <row r="407" spans="6:7" x14ac:dyDescent="0.3">
      <c r="F407" s="5">
        <v>78.976518227543906</v>
      </c>
      <c r="G407" s="3">
        <v>406</v>
      </c>
    </row>
    <row r="408" spans="6:7" x14ac:dyDescent="0.3">
      <c r="F408" s="5">
        <v>61.925303544996432</v>
      </c>
      <c r="G408" s="10">
        <v>407</v>
      </c>
    </row>
    <row r="409" spans="6:7" x14ac:dyDescent="0.3">
      <c r="F409" s="5">
        <v>112.18097348537617</v>
      </c>
      <c r="G409" s="3">
        <v>408</v>
      </c>
    </row>
    <row r="410" spans="6:7" x14ac:dyDescent="0.3">
      <c r="F410" s="5">
        <v>105.32375832596962</v>
      </c>
      <c r="G410" s="10">
        <v>409</v>
      </c>
    </row>
    <row r="411" spans="6:7" x14ac:dyDescent="0.3">
      <c r="F411" s="5">
        <v>65.071655490106764</v>
      </c>
      <c r="G411" s="3">
        <v>410</v>
      </c>
    </row>
    <row r="412" spans="6:7" x14ac:dyDescent="0.3">
      <c r="F412" s="5">
        <v>74.931777022824846</v>
      </c>
      <c r="G412" s="10">
        <v>411</v>
      </c>
    </row>
    <row r="413" spans="6:7" x14ac:dyDescent="0.3">
      <c r="F413" s="5">
        <v>126.89104704448299</v>
      </c>
      <c r="G413" s="3">
        <v>412</v>
      </c>
    </row>
    <row r="414" spans="6:7" x14ac:dyDescent="0.3">
      <c r="F414" s="5">
        <v>91.363644934735774</v>
      </c>
      <c r="G414" s="10">
        <v>413</v>
      </c>
    </row>
    <row r="415" spans="6:7" x14ac:dyDescent="0.3">
      <c r="F415" s="5">
        <v>110.64839554648366</v>
      </c>
      <c r="G415" s="3">
        <v>414</v>
      </c>
    </row>
    <row r="416" spans="6:7" x14ac:dyDescent="0.3">
      <c r="F416" s="5">
        <v>81.26117859407303</v>
      </c>
      <c r="G416" s="10">
        <v>415</v>
      </c>
    </row>
    <row r="417" spans="6:7" x14ac:dyDescent="0.3">
      <c r="F417" s="5">
        <v>118.07440385037833</v>
      </c>
      <c r="G417" s="3">
        <v>416</v>
      </c>
    </row>
    <row r="418" spans="6:7" x14ac:dyDescent="0.3">
      <c r="F418" s="5">
        <v>98.422859137437399</v>
      </c>
      <c r="G418" s="10">
        <v>417</v>
      </c>
    </row>
    <row r="419" spans="6:7" x14ac:dyDescent="0.3">
      <c r="F419" s="5">
        <v>115.34880689236714</v>
      </c>
      <c r="G419" s="3">
        <v>418</v>
      </c>
    </row>
    <row r="420" spans="6:7" x14ac:dyDescent="0.3">
      <c r="F420" s="5">
        <v>74.232788103665271</v>
      </c>
      <c r="G420" s="10">
        <v>419</v>
      </c>
    </row>
    <row r="421" spans="6:7" x14ac:dyDescent="0.3">
      <c r="F421" s="5">
        <v>77.0687188936365</v>
      </c>
      <c r="G421" s="3">
        <v>420</v>
      </c>
    </row>
    <row r="422" spans="6:7" x14ac:dyDescent="0.3">
      <c r="F422" s="5">
        <v>87.465333680686143</v>
      </c>
      <c r="G422" s="10">
        <v>421</v>
      </c>
    </row>
    <row r="423" spans="6:7" x14ac:dyDescent="0.3">
      <c r="F423" s="5">
        <v>139.54912938918105</v>
      </c>
      <c r="G423" s="3">
        <v>422</v>
      </c>
    </row>
    <row r="424" spans="6:7" x14ac:dyDescent="0.3">
      <c r="F424" s="5">
        <v>88.539273749008217</v>
      </c>
      <c r="G424" s="10">
        <v>423</v>
      </c>
    </row>
    <row r="425" spans="6:7" x14ac:dyDescent="0.3">
      <c r="F425" s="5">
        <v>124.10375960969684</v>
      </c>
      <c r="G425" s="3">
        <v>424</v>
      </c>
    </row>
    <row r="426" spans="6:7" x14ac:dyDescent="0.3">
      <c r="F426" s="5">
        <v>138.90541786912451</v>
      </c>
      <c r="G426" s="10">
        <v>425</v>
      </c>
    </row>
    <row r="427" spans="6:7" x14ac:dyDescent="0.3">
      <c r="F427" s="5">
        <v>73.104599434839116</v>
      </c>
      <c r="G427" s="3">
        <v>426</v>
      </c>
    </row>
    <row r="428" spans="6:7" x14ac:dyDescent="0.3">
      <c r="F428" s="5">
        <v>101.68223005522015</v>
      </c>
      <c r="G428" s="10">
        <v>427</v>
      </c>
    </row>
    <row r="429" spans="6:7" x14ac:dyDescent="0.3">
      <c r="F429" s="5">
        <v>152.58051967172187</v>
      </c>
      <c r="G429" s="3">
        <v>428</v>
      </c>
    </row>
    <row r="430" spans="6:7" x14ac:dyDescent="0.3">
      <c r="F430" s="5">
        <v>75.027558639294625</v>
      </c>
      <c r="G430" s="10">
        <v>429</v>
      </c>
    </row>
    <row r="431" spans="6:7" x14ac:dyDescent="0.3">
      <c r="F431" s="5">
        <v>74.924318828458581</v>
      </c>
      <c r="G431" s="3">
        <v>430</v>
      </c>
    </row>
    <row r="432" spans="6:7" x14ac:dyDescent="0.3">
      <c r="F432" s="5">
        <v>140.33400044930787</v>
      </c>
      <c r="G432" s="10">
        <v>431</v>
      </c>
    </row>
    <row r="433" spans="6:7" x14ac:dyDescent="0.3">
      <c r="F433" s="5">
        <v>218.95847770994487</v>
      </c>
      <c r="G433" s="3">
        <v>432</v>
      </c>
    </row>
    <row r="434" spans="6:7" x14ac:dyDescent="0.3">
      <c r="F434" s="5">
        <v>206.06702459328744</v>
      </c>
      <c r="G434" s="10">
        <v>433</v>
      </c>
    </row>
    <row r="435" spans="6:7" x14ac:dyDescent="0.3">
      <c r="F435" s="5">
        <v>75.483879070574815</v>
      </c>
      <c r="G435" s="3">
        <v>434</v>
      </c>
    </row>
    <row r="436" spans="6:7" x14ac:dyDescent="0.3">
      <c r="F436" s="5">
        <v>121.00990750092994</v>
      </c>
      <c r="G436" s="10">
        <v>435</v>
      </c>
    </row>
    <row r="437" spans="6:7" x14ac:dyDescent="0.3">
      <c r="F437" s="5">
        <v>70.825395495281995</v>
      </c>
      <c r="G437" s="3">
        <v>436</v>
      </c>
    </row>
    <row r="438" spans="6:7" x14ac:dyDescent="0.3">
      <c r="F438" s="5">
        <v>74.336480196096502</v>
      </c>
      <c r="G438" s="10">
        <v>437</v>
      </c>
    </row>
    <row r="439" spans="6:7" x14ac:dyDescent="0.3">
      <c r="F439" s="5">
        <v>158.58301586674978</v>
      </c>
      <c r="G439" s="3">
        <v>438</v>
      </c>
    </row>
    <row r="440" spans="6:7" x14ac:dyDescent="0.3">
      <c r="F440" s="5">
        <v>97.865620211557015</v>
      </c>
      <c r="G440" s="10">
        <v>439</v>
      </c>
    </row>
    <row r="441" spans="6:7" x14ac:dyDescent="0.3">
      <c r="F441" s="5">
        <v>147.12511105821596</v>
      </c>
      <c r="G441" s="3">
        <v>440</v>
      </c>
    </row>
    <row r="442" spans="6:7" x14ac:dyDescent="0.3">
      <c r="F442" s="5">
        <v>74.149651865531055</v>
      </c>
      <c r="G442" s="10">
        <v>441</v>
      </c>
    </row>
    <row r="443" spans="6:7" x14ac:dyDescent="0.3">
      <c r="F443" s="5">
        <v>60.958470505442449</v>
      </c>
      <c r="G443" s="3">
        <v>442</v>
      </c>
    </row>
    <row r="444" spans="6:7" x14ac:dyDescent="0.3">
      <c r="F444" s="5">
        <v>183.03015713844945</v>
      </c>
      <c r="G444" s="10">
        <v>443</v>
      </c>
    </row>
    <row r="445" spans="6:7" x14ac:dyDescent="0.3">
      <c r="F445" s="5">
        <v>99.999904028544492</v>
      </c>
      <c r="G445" s="3">
        <v>444</v>
      </c>
    </row>
    <row r="446" spans="6:7" x14ac:dyDescent="0.3">
      <c r="F446" s="5">
        <v>214.24918884283588</v>
      </c>
      <c r="G446" s="10">
        <v>445</v>
      </c>
    </row>
    <row r="447" spans="6:7" x14ac:dyDescent="0.3">
      <c r="F447" s="5">
        <v>124.8456291969315</v>
      </c>
      <c r="G447" s="3">
        <v>446</v>
      </c>
    </row>
    <row r="448" spans="6:7" x14ac:dyDescent="0.3">
      <c r="F448" s="5">
        <v>77.613136908026689</v>
      </c>
      <c r="G448" s="10">
        <v>447</v>
      </c>
    </row>
    <row r="449" spans="6:7" x14ac:dyDescent="0.3">
      <c r="F449" s="5">
        <v>72.47112983091499</v>
      </c>
      <c r="G449" s="3">
        <v>448</v>
      </c>
    </row>
    <row r="450" spans="6:7" x14ac:dyDescent="0.3">
      <c r="F450" s="5">
        <v>92.731524078978552</v>
      </c>
      <c r="G450" s="10">
        <v>449</v>
      </c>
    </row>
    <row r="451" spans="6:7" x14ac:dyDescent="0.3">
      <c r="F451" s="5">
        <v>111.55720055698768</v>
      </c>
      <c r="G451" s="3">
        <v>450</v>
      </c>
    </row>
    <row r="452" spans="6:7" x14ac:dyDescent="0.3">
      <c r="F452" s="5">
        <v>100.24624168202755</v>
      </c>
      <c r="G452" s="10">
        <v>451</v>
      </c>
    </row>
    <row r="453" spans="6:7" x14ac:dyDescent="0.3">
      <c r="F453" s="5">
        <v>83.85823494163202</v>
      </c>
      <c r="G453" s="3">
        <v>452</v>
      </c>
    </row>
    <row r="454" spans="6:7" x14ac:dyDescent="0.3">
      <c r="F454" s="5">
        <v>70.784765599941309</v>
      </c>
      <c r="G454" s="10">
        <v>453</v>
      </c>
    </row>
    <row r="455" spans="6:7" x14ac:dyDescent="0.3">
      <c r="F455" s="5">
        <v>77.450956480481508</v>
      </c>
      <c r="G455" s="3">
        <v>454</v>
      </c>
    </row>
    <row r="456" spans="6:7" x14ac:dyDescent="0.3">
      <c r="F456" s="5">
        <v>71.414503872761628</v>
      </c>
      <c r="G456" s="10">
        <v>455</v>
      </c>
    </row>
    <row r="457" spans="6:7" x14ac:dyDescent="0.3">
      <c r="F457" s="5">
        <v>76.240290755352987</v>
      </c>
      <c r="G457" s="3">
        <v>456</v>
      </c>
    </row>
    <row r="458" spans="6:7" x14ac:dyDescent="0.3">
      <c r="F458" s="5">
        <v>104.60111328062291</v>
      </c>
      <c r="G458" s="10">
        <v>457</v>
      </c>
    </row>
    <row r="459" spans="6:7" x14ac:dyDescent="0.3">
      <c r="F459" s="5">
        <v>174.54858437988898</v>
      </c>
      <c r="G459" s="3">
        <v>458</v>
      </c>
    </row>
    <row r="460" spans="6:7" x14ac:dyDescent="0.3">
      <c r="F460" s="5">
        <v>117.12626696308779</v>
      </c>
      <c r="G460" s="10">
        <v>459</v>
      </c>
    </row>
    <row r="461" spans="6:7" x14ac:dyDescent="0.3">
      <c r="F461" s="5">
        <v>151.62222714986876</v>
      </c>
      <c r="G461" s="3">
        <v>460</v>
      </c>
    </row>
    <row r="462" spans="6:7" x14ac:dyDescent="0.3">
      <c r="F462" s="5">
        <v>111.94996402528007</v>
      </c>
      <c r="G462" s="10">
        <v>461</v>
      </c>
    </row>
    <row r="463" spans="6:7" x14ac:dyDescent="0.3">
      <c r="F463" s="5">
        <v>114.41846052456319</v>
      </c>
      <c r="G463" s="3">
        <v>462</v>
      </c>
    </row>
    <row r="464" spans="6:7" x14ac:dyDescent="0.3">
      <c r="F464" s="5">
        <v>94.457228736944273</v>
      </c>
      <c r="G464" s="10">
        <v>463</v>
      </c>
    </row>
    <row r="465" spans="6:7" x14ac:dyDescent="0.3">
      <c r="F465" s="5">
        <v>156.15601407148893</v>
      </c>
      <c r="G465" s="3">
        <v>464</v>
      </c>
    </row>
    <row r="466" spans="6:7" x14ac:dyDescent="0.3">
      <c r="F466" s="5">
        <v>107.50708687497441</v>
      </c>
      <c r="G466" s="10">
        <v>465</v>
      </c>
    </row>
    <row r="467" spans="6:7" x14ac:dyDescent="0.3">
      <c r="F467" s="5">
        <v>74.046276948638351</v>
      </c>
      <c r="G467" s="3">
        <v>466</v>
      </c>
    </row>
    <row r="468" spans="6:7" x14ac:dyDescent="0.3">
      <c r="F468" s="5">
        <v>75.516408964061483</v>
      </c>
      <c r="G468" s="10">
        <v>467</v>
      </c>
    </row>
    <row r="469" spans="6:7" x14ac:dyDescent="0.3">
      <c r="F469" s="5">
        <v>96.736101069256819</v>
      </c>
      <c r="G469" s="3">
        <v>468</v>
      </c>
    </row>
    <row r="470" spans="6:7" x14ac:dyDescent="0.3">
      <c r="F470" s="5">
        <v>96.251762071272751</v>
      </c>
      <c r="G470" s="10">
        <v>469</v>
      </c>
    </row>
    <row r="471" spans="6:7" x14ac:dyDescent="0.3">
      <c r="F471" s="5">
        <v>109.67962134192102</v>
      </c>
      <c r="G471" s="3">
        <v>470</v>
      </c>
    </row>
    <row r="472" spans="6:7" x14ac:dyDescent="0.3">
      <c r="F472" s="5">
        <v>80.893934707446988</v>
      </c>
      <c r="G472" s="10">
        <v>471</v>
      </c>
    </row>
    <row r="473" spans="6:7" x14ac:dyDescent="0.3">
      <c r="F473" s="5">
        <v>103.62532942070693</v>
      </c>
      <c r="G473" s="3">
        <v>472</v>
      </c>
    </row>
    <row r="474" spans="6:7" x14ac:dyDescent="0.3">
      <c r="F474" s="5">
        <v>121.20581250227093</v>
      </c>
      <c r="G474" s="10">
        <v>473</v>
      </c>
    </row>
    <row r="475" spans="6:7" x14ac:dyDescent="0.3">
      <c r="F475" s="5">
        <v>94.665400917841396</v>
      </c>
      <c r="G475" s="3">
        <v>474</v>
      </c>
    </row>
    <row r="476" spans="6:7" x14ac:dyDescent="0.3">
      <c r="F476" s="5">
        <v>69.419385049854228</v>
      </c>
      <c r="G476" s="10">
        <v>475</v>
      </c>
    </row>
    <row r="477" spans="6:7" x14ac:dyDescent="0.3">
      <c r="F477" s="5">
        <v>109.0448140392951</v>
      </c>
      <c r="G477" s="3">
        <v>476</v>
      </c>
    </row>
    <row r="478" spans="6:7" x14ac:dyDescent="0.3">
      <c r="F478" s="5">
        <v>124.47628845444962</v>
      </c>
      <c r="G478" s="10">
        <v>477</v>
      </c>
    </row>
    <row r="479" spans="6:7" x14ac:dyDescent="0.3">
      <c r="F479" s="5">
        <v>96.368422240013174</v>
      </c>
      <c r="G479" s="3">
        <v>478</v>
      </c>
    </row>
    <row r="480" spans="6:7" x14ac:dyDescent="0.3">
      <c r="F480" s="5">
        <v>150.30834115013201</v>
      </c>
      <c r="G480" s="10">
        <v>479</v>
      </c>
    </row>
    <row r="481" spans="6:7" x14ac:dyDescent="0.3">
      <c r="F481" s="5">
        <v>126.31928301907202</v>
      </c>
      <c r="G481" s="3">
        <v>480</v>
      </c>
    </row>
    <row r="482" spans="6:7" x14ac:dyDescent="0.3">
      <c r="F482" s="5">
        <v>105.24207286582508</v>
      </c>
      <c r="G482" s="10">
        <v>481</v>
      </c>
    </row>
    <row r="483" spans="6:7" x14ac:dyDescent="0.3">
      <c r="F483" s="5">
        <v>115.41818316691761</v>
      </c>
      <c r="G483" s="3">
        <v>482</v>
      </c>
    </row>
    <row r="484" spans="6:7" x14ac:dyDescent="0.3">
      <c r="F484" s="5">
        <v>124.09122423108884</v>
      </c>
      <c r="G484" s="10">
        <v>483</v>
      </c>
    </row>
    <row r="485" spans="6:7" x14ac:dyDescent="0.3">
      <c r="F485" s="5">
        <v>138.70705352987497</v>
      </c>
      <c r="G485" s="3">
        <v>484</v>
      </c>
    </row>
    <row r="486" spans="6:7" x14ac:dyDescent="0.3">
      <c r="F486" s="5">
        <v>68.343580401444456</v>
      </c>
      <c r="G486" s="10">
        <v>485</v>
      </c>
    </row>
    <row r="487" spans="6:7" x14ac:dyDescent="0.3">
      <c r="F487" s="5">
        <v>107.56214551832126</v>
      </c>
      <c r="G487" s="3">
        <v>486</v>
      </c>
    </row>
    <row r="488" spans="6:7" x14ac:dyDescent="0.3">
      <c r="F488" s="5">
        <v>119.16480846731785</v>
      </c>
      <c r="G488" s="10">
        <v>487</v>
      </c>
    </row>
    <row r="489" spans="6:7" x14ac:dyDescent="0.3">
      <c r="F489" s="5">
        <v>99.717792629529427</v>
      </c>
      <c r="G489" s="3">
        <v>488</v>
      </c>
    </row>
    <row r="490" spans="6:7" x14ac:dyDescent="0.3">
      <c r="F490" s="5">
        <v>72.676779164898548</v>
      </c>
      <c r="G490" s="10">
        <v>489</v>
      </c>
    </row>
    <row r="491" spans="6:7" x14ac:dyDescent="0.3">
      <c r="F491" s="5">
        <v>156.49600519799131</v>
      </c>
      <c r="G491" s="3">
        <v>490</v>
      </c>
    </row>
    <row r="492" spans="6:7" x14ac:dyDescent="0.3">
      <c r="F492" s="5">
        <v>75.440523470618174</v>
      </c>
      <c r="G492" s="10">
        <v>491</v>
      </c>
    </row>
    <row r="493" spans="6:7" x14ac:dyDescent="0.3">
      <c r="F493" s="5">
        <v>111.01592992606069</v>
      </c>
      <c r="G493" s="3">
        <v>492</v>
      </c>
    </row>
    <row r="494" spans="6:7" x14ac:dyDescent="0.3">
      <c r="F494" s="5">
        <v>79.022619873294033</v>
      </c>
      <c r="G494" s="10">
        <v>493</v>
      </c>
    </row>
    <row r="495" spans="6:7" x14ac:dyDescent="0.3">
      <c r="F495" s="5">
        <v>66.225698771221602</v>
      </c>
      <c r="G495" s="3">
        <v>494</v>
      </c>
    </row>
    <row r="496" spans="6:7" x14ac:dyDescent="0.3">
      <c r="F496" s="5">
        <v>165.21300432116703</v>
      </c>
      <c r="G496" s="10">
        <v>495</v>
      </c>
    </row>
    <row r="497" spans="6:7" x14ac:dyDescent="0.3">
      <c r="F497" s="5">
        <v>91.581214920491007</v>
      </c>
      <c r="G497" s="3">
        <v>496</v>
      </c>
    </row>
    <row r="498" spans="6:7" x14ac:dyDescent="0.3">
      <c r="F498" s="5">
        <v>191.83413535087732</v>
      </c>
      <c r="G498" s="10">
        <v>497</v>
      </c>
    </row>
    <row r="499" spans="6:7" x14ac:dyDescent="0.3">
      <c r="F499" s="5">
        <v>124.30249232014656</v>
      </c>
      <c r="G499" s="3">
        <v>498</v>
      </c>
    </row>
    <row r="500" spans="6:7" x14ac:dyDescent="0.3">
      <c r="F500" s="5">
        <v>71.343190510309739</v>
      </c>
      <c r="G500" s="10">
        <v>499</v>
      </c>
    </row>
    <row r="501" spans="6:7" x14ac:dyDescent="0.3">
      <c r="F501" s="5">
        <v>77.301563032848037</v>
      </c>
      <c r="G501" s="3">
        <v>500</v>
      </c>
    </row>
    <row r="502" spans="6:7" x14ac:dyDescent="0.3">
      <c r="F502" s="5">
        <v>78.704843046718281</v>
      </c>
      <c r="G502" s="10">
        <v>501</v>
      </c>
    </row>
    <row r="503" spans="6:7" x14ac:dyDescent="0.3">
      <c r="F503" s="5">
        <v>67.020851288707703</v>
      </c>
      <c r="G503" s="3">
        <v>502</v>
      </c>
    </row>
    <row r="504" spans="6:7" x14ac:dyDescent="0.3">
      <c r="F504" s="5">
        <v>137.42226272582622</v>
      </c>
      <c r="G504" s="10">
        <v>503</v>
      </c>
    </row>
    <row r="505" spans="6:7" x14ac:dyDescent="0.3">
      <c r="F505" s="5">
        <v>91.244034902261959</v>
      </c>
      <c r="G505" s="3">
        <v>504</v>
      </c>
    </row>
    <row r="506" spans="6:7" x14ac:dyDescent="0.3">
      <c r="F506" s="5">
        <v>134.58366010356525</v>
      </c>
      <c r="G506" s="10">
        <v>505</v>
      </c>
    </row>
    <row r="507" spans="6:7" x14ac:dyDescent="0.3">
      <c r="F507" s="5">
        <v>121.91959344705514</v>
      </c>
      <c r="G507" s="3">
        <v>506</v>
      </c>
    </row>
    <row r="508" spans="6:7" x14ac:dyDescent="0.3">
      <c r="F508" s="5">
        <v>111.51202443252801</v>
      </c>
      <c r="G508" s="10">
        <v>507</v>
      </c>
    </row>
    <row r="509" spans="6:7" x14ac:dyDescent="0.3">
      <c r="F509" s="5">
        <v>66.234192896278145</v>
      </c>
      <c r="G509" s="3">
        <v>508</v>
      </c>
    </row>
    <row r="510" spans="6:7" x14ac:dyDescent="0.3">
      <c r="F510" s="5">
        <v>132.32934207691648</v>
      </c>
      <c r="G510" s="10">
        <v>509</v>
      </c>
    </row>
    <row r="511" spans="6:7" x14ac:dyDescent="0.3">
      <c r="F511" s="5">
        <v>174.7708011538968</v>
      </c>
      <c r="G511" s="3">
        <v>510</v>
      </c>
    </row>
    <row r="512" spans="6:7" x14ac:dyDescent="0.3">
      <c r="F512" s="5">
        <v>76.817738091234801</v>
      </c>
      <c r="G512" s="10">
        <v>511</v>
      </c>
    </row>
    <row r="513" spans="6:7" x14ac:dyDescent="0.3">
      <c r="F513" s="5">
        <v>98.820110788184166</v>
      </c>
      <c r="G513" s="3">
        <v>512</v>
      </c>
    </row>
    <row r="514" spans="6:7" x14ac:dyDescent="0.3">
      <c r="F514" s="5">
        <v>98.851136903496212</v>
      </c>
      <c r="G514" s="10">
        <v>513</v>
      </c>
    </row>
    <row r="515" spans="6:7" x14ac:dyDescent="0.3">
      <c r="F515" s="5">
        <v>93.632121123950938</v>
      </c>
      <c r="G515" s="3">
        <v>514</v>
      </c>
    </row>
    <row r="516" spans="6:7" x14ac:dyDescent="0.3">
      <c r="F516" s="5">
        <v>65.054066004669735</v>
      </c>
      <c r="G516" s="10">
        <v>515</v>
      </c>
    </row>
    <row r="517" spans="6:7" x14ac:dyDescent="0.3">
      <c r="F517" s="5">
        <v>107.76594803936857</v>
      </c>
      <c r="G517" s="3">
        <v>516</v>
      </c>
    </row>
    <row r="518" spans="6:7" x14ac:dyDescent="0.3">
      <c r="F518" s="5">
        <v>137.99312580550398</v>
      </c>
      <c r="G518" s="10">
        <v>517</v>
      </c>
    </row>
    <row r="519" spans="6:7" x14ac:dyDescent="0.3">
      <c r="F519" s="5">
        <v>78.881732828186301</v>
      </c>
      <c r="G519" s="3">
        <v>518</v>
      </c>
    </row>
    <row r="520" spans="6:7" x14ac:dyDescent="0.3">
      <c r="F520" s="5">
        <v>81.088092746646851</v>
      </c>
      <c r="G520" s="10">
        <v>519</v>
      </c>
    </row>
    <row r="521" spans="6:7" x14ac:dyDescent="0.3">
      <c r="F521" s="5">
        <v>143.83239125984483</v>
      </c>
      <c r="G521" s="3">
        <v>520</v>
      </c>
    </row>
    <row r="522" spans="6:7" x14ac:dyDescent="0.3">
      <c r="F522" s="5">
        <v>147.92881977254964</v>
      </c>
      <c r="G522" s="10">
        <v>521</v>
      </c>
    </row>
    <row r="523" spans="6:7" x14ac:dyDescent="0.3">
      <c r="F523" s="5">
        <v>127.46091947448691</v>
      </c>
      <c r="G523" s="3">
        <v>522</v>
      </c>
    </row>
    <row r="524" spans="6:7" x14ac:dyDescent="0.3">
      <c r="F524" s="5">
        <v>96.658419627278576</v>
      </c>
      <c r="G524" s="10">
        <v>523</v>
      </c>
    </row>
    <row r="525" spans="6:7" x14ac:dyDescent="0.3">
      <c r="F525" s="5">
        <v>64.294178282892986</v>
      </c>
      <c r="G525" s="3">
        <v>524</v>
      </c>
    </row>
    <row r="526" spans="6:7" x14ac:dyDescent="0.3">
      <c r="F526" s="5">
        <v>130.98838326736521</v>
      </c>
      <c r="G526" s="10">
        <v>525</v>
      </c>
    </row>
    <row r="527" spans="6:7" x14ac:dyDescent="0.3">
      <c r="F527" s="5">
        <v>124.67790922394323</v>
      </c>
      <c r="G527" s="3">
        <v>526</v>
      </c>
    </row>
    <row r="528" spans="6:7" x14ac:dyDescent="0.3">
      <c r="F528" s="5">
        <v>188.9487629332568</v>
      </c>
      <c r="G528" s="10">
        <v>527</v>
      </c>
    </row>
    <row r="529" spans="6:7" x14ac:dyDescent="0.3">
      <c r="F529" s="5">
        <v>130.66590795853705</v>
      </c>
      <c r="G529" s="3">
        <v>528</v>
      </c>
    </row>
    <row r="530" spans="6:7" x14ac:dyDescent="0.3">
      <c r="F530" s="5">
        <v>62.944092750516688</v>
      </c>
      <c r="G530" s="10">
        <v>529</v>
      </c>
    </row>
    <row r="531" spans="6:7" x14ac:dyDescent="0.3">
      <c r="F531" s="5">
        <v>118.04693269031641</v>
      </c>
      <c r="G531" s="3">
        <v>530</v>
      </c>
    </row>
    <row r="532" spans="6:7" x14ac:dyDescent="0.3">
      <c r="F532" s="5">
        <v>71.724889577122894</v>
      </c>
      <c r="G532" s="10">
        <v>531</v>
      </c>
    </row>
    <row r="533" spans="6:7" x14ac:dyDescent="0.3">
      <c r="F533" s="5">
        <v>88.646576467248138</v>
      </c>
      <c r="G533" s="3">
        <v>532</v>
      </c>
    </row>
    <row r="534" spans="6:7" x14ac:dyDescent="0.3">
      <c r="F534" s="5">
        <v>147.01752531035541</v>
      </c>
      <c r="G534" s="10">
        <v>533</v>
      </c>
    </row>
    <row r="535" spans="6:7" x14ac:dyDescent="0.3">
      <c r="F535" s="5">
        <v>70.326390482845525</v>
      </c>
      <c r="G535" s="3">
        <v>534</v>
      </c>
    </row>
    <row r="536" spans="6:7" x14ac:dyDescent="0.3">
      <c r="F536" s="5">
        <v>66.351752536655184</v>
      </c>
      <c r="G536" s="10">
        <v>535</v>
      </c>
    </row>
    <row r="537" spans="6:7" x14ac:dyDescent="0.3">
      <c r="F537" s="5">
        <v>105.31754317496734</v>
      </c>
      <c r="G537" s="3">
        <v>536</v>
      </c>
    </row>
    <row r="538" spans="6:7" x14ac:dyDescent="0.3">
      <c r="F538" s="5">
        <v>65.04838246358338</v>
      </c>
      <c r="G538" s="10">
        <v>537</v>
      </c>
    </row>
    <row r="539" spans="6:7" x14ac:dyDescent="0.3">
      <c r="F539" s="5">
        <v>176.84987231911759</v>
      </c>
      <c r="G539" s="3">
        <v>538</v>
      </c>
    </row>
    <row r="540" spans="6:7" x14ac:dyDescent="0.3">
      <c r="F540" s="5">
        <v>128.71898465909317</v>
      </c>
      <c r="G540" s="10">
        <v>539</v>
      </c>
    </row>
    <row r="541" spans="6:7" x14ac:dyDescent="0.3">
      <c r="F541" s="5">
        <v>79.193455121991107</v>
      </c>
      <c r="G541" s="3">
        <v>540</v>
      </c>
    </row>
    <row r="542" spans="6:7" x14ac:dyDescent="0.3">
      <c r="F542" s="5">
        <v>177.11183861068309</v>
      </c>
      <c r="G542" s="10">
        <v>541</v>
      </c>
    </row>
    <row r="543" spans="6:7" x14ac:dyDescent="0.3">
      <c r="F543" s="5">
        <v>127.1115680002992</v>
      </c>
      <c r="G543" s="3">
        <v>542</v>
      </c>
    </row>
    <row r="544" spans="6:7" x14ac:dyDescent="0.3">
      <c r="F544" s="5">
        <v>77.834291646621352</v>
      </c>
      <c r="G544" s="10">
        <v>543</v>
      </c>
    </row>
    <row r="545" spans="6:7" x14ac:dyDescent="0.3">
      <c r="F545" s="5">
        <v>78.645744791369751</v>
      </c>
      <c r="G545" s="3">
        <v>544</v>
      </c>
    </row>
    <row r="546" spans="6:7" x14ac:dyDescent="0.3">
      <c r="F546" s="5">
        <v>59.614682322089557</v>
      </c>
      <c r="G546" s="10">
        <v>545</v>
      </c>
    </row>
    <row r="547" spans="6:7" x14ac:dyDescent="0.3">
      <c r="F547" s="5">
        <v>82.20083378827259</v>
      </c>
      <c r="G547" s="3">
        <v>546</v>
      </c>
    </row>
    <row r="548" spans="6:7" x14ac:dyDescent="0.3">
      <c r="F548" s="5">
        <v>122.46606461215596</v>
      </c>
      <c r="G548" s="10">
        <v>547</v>
      </c>
    </row>
    <row r="549" spans="6:7" x14ac:dyDescent="0.3">
      <c r="F549" s="5">
        <v>77.580053673683423</v>
      </c>
      <c r="G549" s="3">
        <v>548</v>
      </c>
    </row>
    <row r="550" spans="6:7" x14ac:dyDescent="0.3">
      <c r="F550" s="5">
        <v>99.714704598069616</v>
      </c>
      <c r="G550" s="10">
        <v>549</v>
      </c>
    </row>
    <row r="551" spans="6:7" x14ac:dyDescent="0.3">
      <c r="F551" s="5">
        <v>143.28846671569607</v>
      </c>
      <c r="G551" s="3">
        <v>550</v>
      </c>
    </row>
    <row r="552" spans="6:7" x14ac:dyDescent="0.3">
      <c r="F552" s="5">
        <v>172.5705879660556</v>
      </c>
      <c r="G552" s="10">
        <v>551</v>
      </c>
    </row>
    <row r="553" spans="6:7" x14ac:dyDescent="0.3">
      <c r="F553" s="5">
        <v>122.7192474919496</v>
      </c>
      <c r="G553" s="3">
        <v>552</v>
      </c>
    </row>
    <row r="554" spans="6:7" x14ac:dyDescent="0.3">
      <c r="F554" s="5">
        <v>147.81482398588898</v>
      </c>
      <c r="G554" s="10">
        <v>553</v>
      </c>
    </row>
    <row r="555" spans="6:7" x14ac:dyDescent="0.3">
      <c r="F555" s="5">
        <v>147.57934430673646</v>
      </c>
      <c r="G555" s="3">
        <v>554</v>
      </c>
    </row>
    <row r="556" spans="6:7" x14ac:dyDescent="0.3">
      <c r="F556" s="5">
        <v>74.867190562389411</v>
      </c>
      <c r="G556" s="10">
        <v>555</v>
      </c>
    </row>
    <row r="557" spans="6:7" x14ac:dyDescent="0.3">
      <c r="F557" s="5">
        <v>134.67378721518861</v>
      </c>
      <c r="G557" s="3">
        <v>556</v>
      </c>
    </row>
    <row r="558" spans="6:7" x14ac:dyDescent="0.3">
      <c r="F558" s="5">
        <v>85.25570695350055</v>
      </c>
      <c r="G558" s="10">
        <v>557</v>
      </c>
    </row>
    <row r="559" spans="6:7" x14ac:dyDescent="0.3">
      <c r="F559" s="5">
        <v>64.548112248688454</v>
      </c>
      <c r="G559" s="3">
        <v>558</v>
      </c>
    </row>
    <row r="560" spans="6:7" x14ac:dyDescent="0.3">
      <c r="F560" s="5">
        <v>74.368746910819496</v>
      </c>
      <c r="G560" s="10">
        <v>559</v>
      </c>
    </row>
    <row r="561" spans="6:7" x14ac:dyDescent="0.3">
      <c r="F561" s="5">
        <v>152.83596368198488</v>
      </c>
      <c r="G561" s="3">
        <v>560</v>
      </c>
    </row>
    <row r="562" spans="6:7" x14ac:dyDescent="0.3">
      <c r="F562" s="5">
        <v>100.70445780566658</v>
      </c>
      <c r="G562" s="10">
        <v>561</v>
      </c>
    </row>
    <row r="563" spans="6:7" x14ac:dyDescent="0.3">
      <c r="F563" s="5">
        <v>74.625060007101297</v>
      </c>
      <c r="G563" s="3">
        <v>562</v>
      </c>
    </row>
    <row r="564" spans="6:7" x14ac:dyDescent="0.3">
      <c r="F564" s="5">
        <v>105.32576848475293</v>
      </c>
      <c r="G564" s="10">
        <v>563</v>
      </c>
    </row>
    <row r="565" spans="6:7" x14ac:dyDescent="0.3">
      <c r="F565" s="5">
        <v>75.506311488062011</v>
      </c>
      <c r="G565" s="3">
        <v>564</v>
      </c>
    </row>
    <row r="566" spans="6:7" x14ac:dyDescent="0.3">
      <c r="F566" s="5">
        <v>136.38666308335692</v>
      </c>
      <c r="G566" s="10">
        <v>565</v>
      </c>
    </row>
    <row r="567" spans="6:7" x14ac:dyDescent="0.3">
      <c r="F567" s="5">
        <v>98.965835293677998</v>
      </c>
      <c r="G567" s="3">
        <v>566</v>
      </c>
    </row>
    <row r="568" spans="6:7" x14ac:dyDescent="0.3">
      <c r="F568" s="5">
        <v>105.35769468748292</v>
      </c>
      <c r="G568" s="10">
        <v>567</v>
      </c>
    </row>
    <row r="569" spans="6:7" x14ac:dyDescent="0.3">
      <c r="F569" s="5">
        <v>122.68083621134139</v>
      </c>
      <c r="G569" s="3">
        <v>568</v>
      </c>
    </row>
    <row r="570" spans="6:7" x14ac:dyDescent="0.3">
      <c r="F570" s="5">
        <v>78.390630159726143</v>
      </c>
      <c r="G570" s="10">
        <v>569</v>
      </c>
    </row>
    <row r="571" spans="6:7" x14ac:dyDescent="0.3">
      <c r="F571" s="5">
        <v>82.471625913367632</v>
      </c>
      <c r="G571" s="3">
        <v>570</v>
      </c>
    </row>
    <row r="572" spans="6:7" x14ac:dyDescent="0.3">
      <c r="F572" s="5">
        <v>148.79799961696958</v>
      </c>
      <c r="G572" s="10">
        <v>571</v>
      </c>
    </row>
    <row r="573" spans="6:7" x14ac:dyDescent="0.3">
      <c r="F573" s="5">
        <v>79.150886720346378</v>
      </c>
      <c r="G573" s="3">
        <v>572</v>
      </c>
    </row>
    <row r="574" spans="6:7" x14ac:dyDescent="0.3">
      <c r="F574" s="5">
        <v>71.388390547089472</v>
      </c>
      <c r="G574" s="10">
        <v>573</v>
      </c>
    </row>
    <row r="575" spans="6:7" x14ac:dyDescent="0.3">
      <c r="F575" s="5">
        <v>73.767540266640566</v>
      </c>
      <c r="G575" s="3">
        <v>574</v>
      </c>
    </row>
    <row r="576" spans="6:7" x14ac:dyDescent="0.3">
      <c r="F576" s="5">
        <v>117.41582534700966</v>
      </c>
      <c r="G576" s="10">
        <v>575</v>
      </c>
    </row>
    <row r="577" spans="6:7" x14ac:dyDescent="0.3">
      <c r="F577" s="5">
        <v>97.44826797023606</v>
      </c>
      <c r="G577" s="3">
        <v>576</v>
      </c>
    </row>
    <row r="578" spans="6:7" x14ac:dyDescent="0.3">
      <c r="F578" s="5">
        <v>87.069712733453827</v>
      </c>
      <c r="G578" s="10">
        <v>577</v>
      </c>
    </row>
    <row r="579" spans="6:7" x14ac:dyDescent="0.3">
      <c r="F579" s="5">
        <v>126.35879589635476</v>
      </c>
      <c r="G579" s="3">
        <v>578</v>
      </c>
    </row>
    <row r="580" spans="6:7" x14ac:dyDescent="0.3">
      <c r="F580" s="5">
        <v>103.21189956003711</v>
      </c>
      <c r="G580" s="10">
        <v>579</v>
      </c>
    </row>
    <row r="581" spans="6:7" x14ac:dyDescent="0.3">
      <c r="F581" s="5">
        <v>113.35967755762049</v>
      </c>
      <c r="G581" s="3">
        <v>580</v>
      </c>
    </row>
    <row r="582" spans="6:7" x14ac:dyDescent="0.3">
      <c r="F582" s="5">
        <v>88.937808213853316</v>
      </c>
      <c r="G582" s="10">
        <v>581</v>
      </c>
    </row>
    <row r="583" spans="6:7" x14ac:dyDescent="0.3">
      <c r="F583" s="5">
        <v>73.643100064590612</v>
      </c>
      <c r="G583" s="3">
        <v>582</v>
      </c>
    </row>
    <row r="584" spans="6:7" x14ac:dyDescent="0.3">
      <c r="F584" s="5">
        <v>96.276119300803131</v>
      </c>
      <c r="G584" s="10">
        <v>583</v>
      </c>
    </row>
    <row r="585" spans="6:7" x14ac:dyDescent="0.3">
      <c r="F585" s="5">
        <v>115.90731182631019</v>
      </c>
      <c r="G585" s="3">
        <v>584</v>
      </c>
    </row>
    <row r="586" spans="6:7" x14ac:dyDescent="0.3">
      <c r="F586" s="5">
        <v>76.971387754965349</v>
      </c>
      <c r="G586" s="10">
        <v>585</v>
      </c>
    </row>
    <row r="587" spans="6:7" x14ac:dyDescent="0.3">
      <c r="F587" s="5">
        <v>135.33670191617364</v>
      </c>
      <c r="G587" s="3">
        <v>586</v>
      </c>
    </row>
    <row r="588" spans="6:7" x14ac:dyDescent="0.3">
      <c r="F588" s="5">
        <v>73.827067821763038</v>
      </c>
      <c r="G588" s="10">
        <v>587</v>
      </c>
    </row>
    <row r="589" spans="6:7" x14ac:dyDescent="0.3">
      <c r="F589" s="5">
        <v>72.017606292458652</v>
      </c>
      <c r="G589" s="3">
        <v>588</v>
      </c>
    </row>
    <row r="590" spans="6:7" x14ac:dyDescent="0.3">
      <c r="F590" s="5">
        <v>160.62487085800666</v>
      </c>
      <c r="G590" s="10">
        <v>589</v>
      </c>
    </row>
    <row r="591" spans="6:7" x14ac:dyDescent="0.3">
      <c r="F591" s="5">
        <v>127.29602096573372</v>
      </c>
      <c r="G591" s="3">
        <v>590</v>
      </c>
    </row>
    <row r="592" spans="6:7" x14ac:dyDescent="0.3">
      <c r="F592" s="5">
        <v>73.358133986044308</v>
      </c>
      <c r="G592" s="10">
        <v>591</v>
      </c>
    </row>
    <row r="593" spans="6:7" x14ac:dyDescent="0.3">
      <c r="F593" s="5">
        <v>129.02530351555123</v>
      </c>
      <c r="G593" s="3">
        <v>592</v>
      </c>
    </row>
    <row r="594" spans="6:7" x14ac:dyDescent="0.3">
      <c r="F594" s="5">
        <v>116.77085637480371</v>
      </c>
      <c r="G594" s="10">
        <v>593</v>
      </c>
    </row>
    <row r="595" spans="6:7" x14ac:dyDescent="0.3">
      <c r="F595" s="5">
        <v>107.22913807140499</v>
      </c>
      <c r="G595" s="3">
        <v>594</v>
      </c>
    </row>
    <row r="596" spans="6:7" x14ac:dyDescent="0.3">
      <c r="F596" s="5">
        <v>174.46448414889119</v>
      </c>
      <c r="G596" s="10">
        <v>595</v>
      </c>
    </row>
    <row r="597" spans="6:7" x14ac:dyDescent="0.3">
      <c r="F597" s="5">
        <v>128.14933367741938</v>
      </c>
      <c r="G597" s="3">
        <v>596</v>
      </c>
    </row>
    <row r="598" spans="6:7" x14ac:dyDescent="0.3">
      <c r="F598" s="5">
        <v>93.832485480055254</v>
      </c>
      <c r="G598" s="10">
        <v>597</v>
      </c>
    </row>
    <row r="599" spans="6:7" x14ac:dyDescent="0.3">
      <c r="F599" s="5">
        <v>106.0744735235082</v>
      </c>
      <c r="G599" s="3">
        <v>598</v>
      </c>
    </row>
    <row r="600" spans="6:7" x14ac:dyDescent="0.3">
      <c r="F600" s="5">
        <v>77.986801892733155</v>
      </c>
      <c r="G600" s="10">
        <v>599</v>
      </c>
    </row>
    <row r="601" spans="6:7" x14ac:dyDescent="0.3">
      <c r="F601" s="5">
        <v>99.967416922123007</v>
      </c>
      <c r="G601" s="3">
        <v>600</v>
      </c>
    </row>
    <row r="602" spans="6:7" x14ac:dyDescent="0.3">
      <c r="F602" s="5">
        <v>106.14704119991654</v>
      </c>
      <c r="G602" s="10">
        <v>601</v>
      </c>
    </row>
    <row r="603" spans="6:7" x14ac:dyDescent="0.3">
      <c r="F603" s="5">
        <v>112.43137356854027</v>
      </c>
      <c r="G603" s="3">
        <v>602</v>
      </c>
    </row>
    <row r="604" spans="6:7" x14ac:dyDescent="0.3">
      <c r="F604" s="5">
        <v>95.431618976831643</v>
      </c>
      <c r="G604" s="10">
        <v>603</v>
      </c>
    </row>
    <row r="605" spans="6:7" x14ac:dyDescent="0.3">
      <c r="F605" s="5">
        <v>77.862228245955777</v>
      </c>
      <c r="G605" s="3">
        <v>604</v>
      </c>
    </row>
    <row r="606" spans="6:7" x14ac:dyDescent="0.3">
      <c r="F606" s="5">
        <v>78.253311396055295</v>
      </c>
      <c r="G606" s="10">
        <v>605</v>
      </c>
    </row>
    <row r="607" spans="6:7" x14ac:dyDescent="0.3">
      <c r="F607" s="5">
        <v>88.791283953198629</v>
      </c>
      <c r="G607" s="3">
        <v>606</v>
      </c>
    </row>
    <row r="608" spans="6:7" x14ac:dyDescent="0.3">
      <c r="F608" s="5">
        <v>100.35184143739146</v>
      </c>
      <c r="G608" s="10">
        <v>607</v>
      </c>
    </row>
    <row r="609" spans="6:7" x14ac:dyDescent="0.3">
      <c r="F609" s="5">
        <v>88.091008058684039</v>
      </c>
      <c r="G609" s="3">
        <v>608</v>
      </c>
    </row>
    <row r="610" spans="6:7" x14ac:dyDescent="0.3">
      <c r="F610" s="5">
        <v>95.571384636245199</v>
      </c>
      <c r="G610" s="10">
        <v>609</v>
      </c>
    </row>
    <row r="611" spans="6:7" x14ac:dyDescent="0.3">
      <c r="F611" s="5">
        <v>86.569288863379867</v>
      </c>
      <c r="G611" s="3">
        <v>610</v>
      </c>
    </row>
    <row r="612" spans="6:7" x14ac:dyDescent="0.3">
      <c r="F612" s="5">
        <v>172.84563434751493</v>
      </c>
      <c r="G612" s="10">
        <v>611</v>
      </c>
    </row>
    <row r="613" spans="6:7" x14ac:dyDescent="0.3">
      <c r="F613" s="5">
        <v>75.553485916692949</v>
      </c>
      <c r="G613" s="3">
        <v>612</v>
      </c>
    </row>
    <row r="614" spans="6:7" x14ac:dyDescent="0.3">
      <c r="F614" s="5">
        <v>62.318219924088773</v>
      </c>
      <c r="G614" s="10">
        <v>613</v>
      </c>
    </row>
    <row r="615" spans="6:7" x14ac:dyDescent="0.3">
      <c r="F615" s="5">
        <v>68.732003308274301</v>
      </c>
      <c r="G615" s="3">
        <v>614</v>
      </c>
    </row>
    <row r="616" spans="6:7" x14ac:dyDescent="0.3">
      <c r="F616" s="5">
        <v>122.28016764839683</v>
      </c>
      <c r="G616" s="10">
        <v>615</v>
      </c>
    </row>
    <row r="617" spans="6:7" x14ac:dyDescent="0.3">
      <c r="F617" s="5">
        <v>149.74615162119315</v>
      </c>
      <c r="G617" s="3">
        <v>616</v>
      </c>
    </row>
    <row r="618" spans="6:7" x14ac:dyDescent="0.3">
      <c r="F618" s="5">
        <v>79.110702154238723</v>
      </c>
      <c r="G618" s="10">
        <v>617</v>
      </c>
    </row>
    <row r="619" spans="6:7" x14ac:dyDescent="0.3">
      <c r="F619" s="5">
        <v>107.24819845036231</v>
      </c>
      <c r="G619" s="3">
        <v>618</v>
      </c>
    </row>
    <row r="620" spans="6:7" x14ac:dyDescent="0.3">
      <c r="F620" s="5">
        <v>72.858921788818677</v>
      </c>
      <c r="G620" s="10">
        <v>619</v>
      </c>
    </row>
    <row r="621" spans="6:7" x14ac:dyDescent="0.3">
      <c r="F621" s="5">
        <v>63.102165770532977</v>
      </c>
      <c r="G621" s="3">
        <v>620</v>
      </c>
    </row>
    <row r="622" spans="6:7" x14ac:dyDescent="0.3">
      <c r="F622" s="5">
        <v>84.520550225241109</v>
      </c>
      <c r="G622" s="10">
        <v>621</v>
      </c>
    </row>
    <row r="623" spans="6:7" x14ac:dyDescent="0.3">
      <c r="F623" s="5">
        <v>83.772829508865428</v>
      </c>
      <c r="G623" s="3">
        <v>622</v>
      </c>
    </row>
    <row r="624" spans="6:7" x14ac:dyDescent="0.3">
      <c r="F624" s="5">
        <v>129.5387861044656</v>
      </c>
      <c r="G624" s="10">
        <v>623</v>
      </c>
    </row>
    <row r="625" spans="6:7" x14ac:dyDescent="0.3">
      <c r="F625" s="5">
        <v>108.61103180124204</v>
      </c>
      <c r="G625" s="3">
        <v>624</v>
      </c>
    </row>
    <row r="626" spans="6:7" x14ac:dyDescent="0.3">
      <c r="F626" s="5">
        <v>136.39282950666632</v>
      </c>
      <c r="G626" s="10">
        <v>625</v>
      </c>
    </row>
    <row r="627" spans="6:7" x14ac:dyDescent="0.3">
      <c r="F627" s="5">
        <v>136.30549970913978</v>
      </c>
      <c r="G627" s="3">
        <v>626</v>
      </c>
    </row>
    <row r="628" spans="6:7" x14ac:dyDescent="0.3">
      <c r="F628" s="5">
        <v>102.37190128651829</v>
      </c>
      <c r="G628" s="10">
        <v>627</v>
      </c>
    </row>
    <row r="629" spans="6:7" x14ac:dyDescent="0.3">
      <c r="F629" s="5">
        <v>86.766487850987829</v>
      </c>
      <c r="G629" s="3">
        <v>628</v>
      </c>
    </row>
    <row r="630" spans="6:7" x14ac:dyDescent="0.3">
      <c r="F630" s="5">
        <v>143.86548714427192</v>
      </c>
      <c r="G630" s="10">
        <v>629</v>
      </c>
    </row>
    <row r="631" spans="6:7" x14ac:dyDescent="0.3">
      <c r="F631" s="5">
        <v>101.05394209307845</v>
      </c>
      <c r="G631" s="3">
        <v>630</v>
      </c>
    </row>
    <row r="632" spans="6:7" x14ac:dyDescent="0.3">
      <c r="F632" s="5">
        <v>97.20988457772151</v>
      </c>
      <c r="G632" s="10">
        <v>631</v>
      </c>
    </row>
    <row r="633" spans="6:7" x14ac:dyDescent="0.3">
      <c r="F633" s="5">
        <v>127.20208479561684</v>
      </c>
      <c r="G633" s="3">
        <v>632</v>
      </c>
    </row>
    <row r="634" spans="6:7" x14ac:dyDescent="0.3">
      <c r="F634" s="5">
        <v>76.76560305935547</v>
      </c>
      <c r="G634" s="10">
        <v>633</v>
      </c>
    </row>
    <row r="635" spans="6:7" x14ac:dyDescent="0.3">
      <c r="F635" s="5">
        <v>126.84921585752279</v>
      </c>
      <c r="G635" s="3">
        <v>634</v>
      </c>
    </row>
    <row r="636" spans="6:7" x14ac:dyDescent="0.3">
      <c r="F636" s="5">
        <v>78.813721929826343</v>
      </c>
      <c r="G636" s="10">
        <v>635</v>
      </c>
    </row>
    <row r="637" spans="6:7" x14ac:dyDescent="0.3">
      <c r="F637" s="5">
        <v>89.867163272512428</v>
      </c>
      <c r="G637" s="3">
        <v>636</v>
      </c>
    </row>
    <row r="638" spans="6:7" x14ac:dyDescent="0.3">
      <c r="F638" s="5">
        <v>94.487480066637218</v>
      </c>
      <c r="G638" s="10">
        <v>637</v>
      </c>
    </row>
    <row r="639" spans="6:7" x14ac:dyDescent="0.3">
      <c r="F639" s="5">
        <v>130.61905150975352</v>
      </c>
      <c r="G639" s="3">
        <v>638</v>
      </c>
    </row>
    <row r="640" spans="6:7" x14ac:dyDescent="0.3">
      <c r="F640" s="5">
        <v>75.419271144650651</v>
      </c>
      <c r="G640" s="10">
        <v>639</v>
      </c>
    </row>
    <row r="641" spans="6:7" x14ac:dyDescent="0.3">
      <c r="F641" s="5">
        <v>69.200746651082994</v>
      </c>
      <c r="G641" s="3">
        <v>640</v>
      </c>
    </row>
    <row r="642" spans="6:7" x14ac:dyDescent="0.3">
      <c r="F642" s="5">
        <v>109.14566594110616</v>
      </c>
      <c r="G642" s="10">
        <v>641</v>
      </c>
    </row>
    <row r="643" spans="6:7" x14ac:dyDescent="0.3">
      <c r="F643" s="5">
        <v>136.40948174735885</v>
      </c>
      <c r="G643" s="3">
        <v>642</v>
      </c>
    </row>
    <row r="644" spans="6:7" x14ac:dyDescent="0.3">
      <c r="F644" s="5">
        <v>113.64597468938176</v>
      </c>
      <c r="G644" s="10">
        <v>643</v>
      </c>
    </row>
    <row r="645" spans="6:7" x14ac:dyDescent="0.3">
      <c r="F645" s="5">
        <v>275.65525516308202</v>
      </c>
      <c r="G645" s="3">
        <v>644</v>
      </c>
    </row>
    <row r="646" spans="6:7" x14ac:dyDescent="0.3">
      <c r="F646" s="5">
        <v>85.357743912836256</v>
      </c>
      <c r="G646" s="10">
        <v>645</v>
      </c>
    </row>
    <row r="647" spans="6:7" x14ac:dyDescent="0.3">
      <c r="F647" s="5">
        <v>207.83150838778278</v>
      </c>
      <c r="G647" s="3">
        <v>646</v>
      </c>
    </row>
    <row r="648" spans="6:7" x14ac:dyDescent="0.3">
      <c r="F648" s="5">
        <v>89.347137726554735</v>
      </c>
      <c r="G648" s="10">
        <v>647</v>
      </c>
    </row>
    <row r="649" spans="6:7" x14ac:dyDescent="0.3">
      <c r="F649" s="5">
        <v>108.0994559287776</v>
      </c>
      <c r="G649" s="3">
        <v>648</v>
      </c>
    </row>
    <row r="650" spans="6:7" x14ac:dyDescent="0.3">
      <c r="F650" s="5">
        <v>75.878073410060125</v>
      </c>
      <c r="G650" s="10">
        <v>649</v>
      </c>
    </row>
    <row r="651" spans="6:7" x14ac:dyDescent="0.3">
      <c r="F651" s="5">
        <v>144.94673724591763</v>
      </c>
      <c r="G651" s="3">
        <v>650</v>
      </c>
    </row>
    <row r="652" spans="6:7" x14ac:dyDescent="0.3">
      <c r="F652" s="5">
        <v>102.18113336204891</v>
      </c>
      <c r="G652" s="10">
        <v>651</v>
      </c>
    </row>
    <row r="653" spans="6:7" x14ac:dyDescent="0.3">
      <c r="F653" s="5">
        <v>115.65595309613886</v>
      </c>
      <c r="G653" s="3">
        <v>652</v>
      </c>
    </row>
    <row r="654" spans="6:7" x14ac:dyDescent="0.3">
      <c r="F654" s="5">
        <v>91.08417338782175</v>
      </c>
      <c r="G654" s="10">
        <v>653</v>
      </c>
    </row>
    <row r="655" spans="6:7" x14ac:dyDescent="0.3">
      <c r="F655" s="5">
        <v>90.579381995941119</v>
      </c>
      <c r="G655" s="3">
        <v>654</v>
      </c>
    </row>
    <row r="656" spans="6:7" x14ac:dyDescent="0.3">
      <c r="F656" s="5">
        <v>83.317824782624598</v>
      </c>
      <c r="G656" s="10">
        <v>655</v>
      </c>
    </row>
    <row r="657" spans="6:7" x14ac:dyDescent="0.3">
      <c r="F657" s="5">
        <v>152.17729797810884</v>
      </c>
      <c r="G657" s="3">
        <v>656</v>
      </c>
    </row>
    <row r="658" spans="6:7" x14ac:dyDescent="0.3">
      <c r="F658" s="5">
        <v>103.19501922998055</v>
      </c>
      <c r="G658" s="10">
        <v>657</v>
      </c>
    </row>
    <row r="659" spans="6:7" x14ac:dyDescent="0.3">
      <c r="F659" s="5">
        <v>84.54942556847061</v>
      </c>
      <c r="G659" s="3">
        <v>658</v>
      </c>
    </row>
    <row r="660" spans="6:7" x14ac:dyDescent="0.3">
      <c r="F660" s="5">
        <v>77.715045825555478</v>
      </c>
      <c r="G660" s="10">
        <v>659</v>
      </c>
    </row>
    <row r="661" spans="6:7" x14ac:dyDescent="0.3">
      <c r="F661" s="5">
        <v>157.13237740275343</v>
      </c>
      <c r="G661" s="3">
        <v>660</v>
      </c>
    </row>
    <row r="662" spans="6:7" x14ac:dyDescent="0.3">
      <c r="F662" s="5">
        <v>70.517642727824949</v>
      </c>
      <c r="G662" s="10">
        <v>661</v>
      </c>
    </row>
    <row r="663" spans="6:7" x14ac:dyDescent="0.3">
      <c r="F663" s="5">
        <v>97.991537148949092</v>
      </c>
      <c r="G663" s="3">
        <v>662</v>
      </c>
    </row>
    <row r="664" spans="6:7" x14ac:dyDescent="0.3">
      <c r="F664" s="5">
        <v>212.28128473020942</v>
      </c>
      <c r="G664" s="10">
        <v>663</v>
      </c>
    </row>
    <row r="665" spans="6:7" x14ac:dyDescent="0.3">
      <c r="F665" s="5">
        <v>110.37058063239382</v>
      </c>
      <c r="G665" s="3">
        <v>664</v>
      </c>
    </row>
    <row r="666" spans="6:7" x14ac:dyDescent="0.3">
      <c r="F666" s="5">
        <v>89.101804082030071</v>
      </c>
      <c r="G666" s="10">
        <v>665</v>
      </c>
    </row>
    <row r="667" spans="6:7" x14ac:dyDescent="0.3">
      <c r="F667" s="5">
        <v>73.763841027781623</v>
      </c>
      <c r="G667" s="3">
        <v>666</v>
      </c>
    </row>
    <row r="668" spans="6:7" x14ac:dyDescent="0.3">
      <c r="F668" s="5">
        <v>261.65219194278654</v>
      </c>
      <c r="G668" s="10">
        <v>667</v>
      </c>
    </row>
    <row r="669" spans="6:7" x14ac:dyDescent="0.3">
      <c r="F669" s="5">
        <v>75.559083606608581</v>
      </c>
      <c r="G669" s="3">
        <v>668</v>
      </c>
    </row>
    <row r="670" spans="6:7" x14ac:dyDescent="0.3">
      <c r="F670" s="5">
        <v>148.45766337763087</v>
      </c>
      <c r="G670" s="10">
        <v>669</v>
      </c>
    </row>
    <row r="671" spans="6:7" x14ac:dyDescent="0.3">
      <c r="F671" s="5">
        <v>105.00464682389182</v>
      </c>
      <c r="G671" s="3">
        <v>670</v>
      </c>
    </row>
    <row r="672" spans="6:7" x14ac:dyDescent="0.3">
      <c r="F672" s="5">
        <v>73.150014237450023</v>
      </c>
      <c r="G672" s="10">
        <v>671</v>
      </c>
    </row>
    <row r="673" spans="6:7" x14ac:dyDescent="0.3">
      <c r="F673" s="5">
        <v>90.450941046953886</v>
      </c>
      <c r="G673" s="3">
        <v>672</v>
      </c>
    </row>
    <row r="674" spans="6:7" x14ac:dyDescent="0.3">
      <c r="F674" s="5">
        <v>140.54240493643059</v>
      </c>
      <c r="G674" s="10">
        <v>673</v>
      </c>
    </row>
    <row r="675" spans="6:7" x14ac:dyDescent="0.3">
      <c r="F675" s="5">
        <v>187.42096262044339</v>
      </c>
      <c r="G675" s="3">
        <v>674</v>
      </c>
    </row>
    <row r="676" spans="6:7" x14ac:dyDescent="0.3">
      <c r="F676" s="5">
        <v>201.69810112226727</v>
      </c>
      <c r="G676" s="10">
        <v>675</v>
      </c>
    </row>
    <row r="677" spans="6:7" x14ac:dyDescent="0.3">
      <c r="F677" s="5">
        <v>132.10005603658516</v>
      </c>
      <c r="G677" s="3">
        <v>676</v>
      </c>
    </row>
    <row r="678" spans="6:7" x14ac:dyDescent="0.3">
      <c r="F678" s="5">
        <v>122.91300168782493</v>
      </c>
      <c r="G678" s="10">
        <v>677</v>
      </c>
    </row>
    <row r="679" spans="6:7" x14ac:dyDescent="0.3">
      <c r="F679" s="5">
        <v>77.879955813549586</v>
      </c>
      <c r="G679" s="3">
        <v>678</v>
      </c>
    </row>
    <row r="680" spans="6:7" x14ac:dyDescent="0.3">
      <c r="F680" s="5">
        <v>118.35070846825573</v>
      </c>
      <c r="G680" s="10">
        <v>679</v>
      </c>
    </row>
    <row r="681" spans="6:7" x14ac:dyDescent="0.3">
      <c r="F681" s="5">
        <v>107.02352870488757</v>
      </c>
      <c r="G681" s="3">
        <v>680</v>
      </c>
    </row>
    <row r="682" spans="6:7" x14ac:dyDescent="0.3">
      <c r="F682" s="5">
        <v>108.63272891604191</v>
      </c>
      <c r="G682" s="10">
        <v>681</v>
      </c>
    </row>
    <row r="683" spans="6:7" x14ac:dyDescent="0.3">
      <c r="F683" s="5">
        <v>159.69063978693069</v>
      </c>
      <c r="G683" s="3">
        <v>682</v>
      </c>
    </row>
    <row r="684" spans="6:7" x14ac:dyDescent="0.3">
      <c r="F684" s="5">
        <v>124.59377759031327</v>
      </c>
      <c r="G684" s="10">
        <v>683</v>
      </c>
    </row>
    <row r="685" spans="6:7" x14ac:dyDescent="0.3">
      <c r="F685" s="5">
        <v>103.9764129822378</v>
      </c>
      <c r="G685" s="3">
        <v>684</v>
      </c>
    </row>
    <row r="686" spans="6:7" x14ac:dyDescent="0.3">
      <c r="F686" s="5">
        <v>66.631407001737188</v>
      </c>
      <c r="G686" s="10">
        <v>685</v>
      </c>
    </row>
    <row r="687" spans="6:7" x14ac:dyDescent="0.3">
      <c r="F687" s="5">
        <v>115.02028804224692</v>
      </c>
      <c r="G687" s="3">
        <v>686</v>
      </c>
    </row>
    <row r="688" spans="6:7" x14ac:dyDescent="0.3">
      <c r="F688" s="5">
        <v>134.40077693748512</v>
      </c>
      <c r="G688" s="10">
        <v>687</v>
      </c>
    </row>
    <row r="689" spans="6:7" x14ac:dyDescent="0.3">
      <c r="F689" s="5">
        <v>105.65406667954056</v>
      </c>
      <c r="G689" s="3">
        <v>688</v>
      </c>
    </row>
    <row r="690" spans="6:7" x14ac:dyDescent="0.3">
      <c r="F690" s="5">
        <v>146.58782439623423</v>
      </c>
      <c r="G690" s="10">
        <v>689</v>
      </c>
    </row>
    <row r="691" spans="6:7" x14ac:dyDescent="0.3">
      <c r="F691" s="5">
        <v>185.09944860843089</v>
      </c>
      <c r="G691" s="3">
        <v>690</v>
      </c>
    </row>
    <row r="692" spans="6:7" x14ac:dyDescent="0.3">
      <c r="F692" s="5">
        <v>133.33388169141972</v>
      </c>
      <c r="G692" s="10">
        <v>691</v>
      </c>
    </row>
    <row r="693" spans="6:7" x14ac:dyDescent="0.3">
      <c r="F693" s="5">
        <v>81.141529736295055</v>
      </c>
      <c r="G693" s="3">
        <v>692</v>
      </c>
    </row>
    <row r="694" spans="6:7" x14ac:dyDescent="0.3">
      <c r="F694" s="5">
        <v>90.247412290417856</v>
      </c>
      <c r="G694" s="10">
        <v>693</v>
      </c>
    </row>
    <row r="695" spans="6:7" x14ac:dyDescent="0.3">
      <c r="F695" s="5">
        <v>97.946360515745724</v>
      </c>
      <c r="G695" s="3">
        <v>694</v>
      </c>
    </row>
    <row r="696" spans="6:7" x14ac:dyDescent="0.3">
      <c r="F696" s="5">
        <v>79.20495184606412</v>
      </c>
      <c r="G696" s="10">
        <v>695</v>
      </c>
    </row>
    <row r="697" spans="6:7" x14ac:dyDescent="0.3">
      <c r="F697" s="5">
        <v>68.104292160242167</v>
      </c>
      <c r="G697" s="3">
        <v>696</v>
      </c>
    </row>
    <row r="698" spans="6:7" x14ac:dyDescent="0.3">
      <c r="F698" s="5">
        <v>120.21374648009518</v>
      </c>
      <c r="G698" s="10">
        <v>697</v>
      </c>
    </row>
    <row r="699" spans="6:7" x14ac:dyDescent="0.3">
      <c r="F699" s="5">
        <v>108.59160090317921</v>
      </c>
      <c r="G699" s="3">
        <v>698</v>
      </c>
    </row>
    <row r="700" spans="6:7" x14ac:dyDescent="0.3">
      <c r="F700" s="5">
        <v>126.12462053001241</v>
      </c>
      <c r="G700" s="10">
        <v>699</v>
      </c>
    </row>
    <row r="701" spans="6:7" x14ac:dyDescent="0.3">
      <c r="F701" s="5">
        <v>85.868691696261166</v>
      </c>
      <c r="G701" s="3">
        <v>700</v>
      </c>
    </row>
    <row r="702" spans="6:7" x14ac:dyDescent="0.3">
      <c r="F702" s="5">
        <v>70.487343595338984</v>
      </c>
      <c r="G702" s="10">
        <v>701</v>
      </c>
    </row>
    <row r="703" spans="6:7" x14ac:dyDescent="0.3">
      <c r="F703" s="5">
        <v>78.152484330597616</v>
      </c>
      <c r="G703" s="3">
        <v>702</v>
      </c>
    </row>
    <row r="704" spans="6:7" x14ac:dyDescent="0.3">
      <c r="F704" s="5">
        <v>70.026330324016058</v>
      </c>
      <c r="G704" s="10">
        <v>703</v>
      </c>
    </row>
    <row r="705" spans="6:7" x14ac:dyDescent="0.3">
      <c r="F705" s="5">
        <v>112.94253165003947</v>
      </c>
      <c r="G705" s="3">
        <v>704</v>
      </c>
    </row>
    <row r="706" spans="6:7" x14ac:dyDescent="0.3">
      <c r="F706" s="5">
        <v>136.71604714752019</v>
      </c>
      <c r="G706" s="10">
        <v>705</v>
      </c>
    </row>
    <row r="707" spans="6:7" x14ac:dyDescent="0.3">
      <c r="F707" s="5">
        <v>103.52413736186372</v>
      </c>
      <c r="G707" s="3">
        <v>706</v>
      </c>
    </row>
    <row r="708" spans="6:7" x14ac:dyDescent="0.3">
      <c r="F708" s="5">
        <v>146.43477088070927</v>
      </c>
      <c r="G708" s="10">
        <v>707</v>
      </c>
    </row>
    <row r="709" spans="6:7" x14ac:dyDescent="0.3">
      <c r="F709" s="5">
        <v>81.594300476280978</v>
      </c>
      <c r="G709" s="3">
        <v>708</v>
      </c>
    </row>
    <row r="710" spans="6:7" x14ac:dyDescent="0.3">
      <c r="F710" s="5">
        <v>129.7884240281947</v>
      </c>
      <c r="G710" s="10">
        <v>709</v>
      </c>
    </row>
    <row r="711" spans="6:7" x14ac:dyDescent="0.3">
      <c r="F711" s="5">
        <v>90.438648336913758</v>
      </c>
      <c r="G711" s="3">
        <v>710</v>
      </c>
    </row>
    <row r="712" spans="6:7" x14ac:dyDescent="0.3">
      <c r="F712" s="5">
        <v>121.61320959374034</v>
      </c>
      <c r="G712" s="10">
        <v>711</v>
      </c>
    </row>
    <row r="713" spans="6:7" x14ac:dyDescent="0.3">
      <c r="F713" s="5">
        <v>72.304972713754339</v>
      </c>
      <c r="G713" s="3">
        <v>712</v>
      </c>
    </row>
    <row r="714" spans="6:7" x14ac:dyDescent="0.3">
      <c r="F714" s="5">
        <v>83.065262996713344</v>
      </c>
      <c r="G714" s="10">
        <v>713</v>
      </c>
    </row>
    <row r="715" spans="6:7" x14ac:dyDescent="0.3">
      <c r="F715" s="5">
        <v>121.51429467682966</v>
      </c>
      <c r="G715" s="3">
        <v>714</v>
      </c>
    </row>
    <row r="716" spans="6:7" x14ac:dyDescent="0.3">
      <c r="F716" s="5">
        <v>93.399758431551518</v>
      </c>
      <c r="G716" s="10">
        <v>715</v>
      </c>
    </row>
    <row r="717" spans="6:7" x14ac:dyDescent="0.3">
      <c r="F717" s="5">
        <v>81.987770692539257</v>
      </c>
      <c r="G717" s="3">
        <v>716</v>
      </c>
    </row>
    <row r="718" spans="6:7" x14ac:dyDescent="0.3">
      <c r="F718" s="5">
        <v>89.702405579152455</v>
      </c>
      <c r="G718" s="10">
        <v>717</v>
      </c>
    </row>
    <row r="719" spans="6:7" x14ac:dyDescent="0.3">
      <c r="F719" s="5">
        <v>81.453503727293835</v>
      </c>
      <c r="G719" s="3">
        <v>718</v>
      </c>
    </row>
    <row r="720" spans="6:7" x14ac:dyDescent="0.3">
      <c r="F720" s="5">
        <v>105.02195176253872</v>
      </c>
      <c r="G720" s="10">
        <v>719</v>
      </c>
    </row>
    <row r="721" spans="6:7" x14ac:dyDescent="0.3">
      <c r="F721" s="5">
        <v>66.029643612111386</v>
      </c>
      <c r="G721" s="3">
        <v>720</v>
      </c>
    </row>
    <row r="722" spans="6:7" x14ac:dyDescent="0.3">
      <c r="F722" s="5">
        <v>88.32848516987616</v>
      </c>
      <c r="G722" s="10">
        <v>721</v>
      </c>
    </row>
    <row r="723" spans="6:7" x14ac:dyDescent="0.3">
      <c r="F723" s="5">
        <v>122.31497827041166</v>
      </c>
      <c r="G723" s="3">
        <v>722</v>
      </c>
    </row>
    <row r="724" spans="6:7" x14ac:dyDescent="0.3">
      <c r="F724" s="5">
        <v>121.10863092364714</v>
      </c>
      <c r="G724" s="10">
        <v>723</v>
      </c>
    </row>
    <row r="725" spans="6:7" x14ac:dyDescent="0.3">
      <c r="F725" s="5">
        <v>74.234238166772926</v>
      </c>
      <c r="G725" s="3">
        <v>724</v>
      </c>
    </row>
    <row r="726" spans="6:7" x14ac:dyDescent="0.3">
      <c r="F726" s="5">
        <v>115.89761205586989</v>
      </c>
      <c r="G726" s="10">
        <v>725</v>
      </c>
    </row>
    <row r="727" spans="6:7" x14ac:dyDescent="0.3">
      <c r="F727" s="5">
        <v>74.138029341989636</v>
      </c>
      <c r="G727" s="3">
        <v>726</v>
      </c>
    </row>
    <row r="728" spans="6:7" x14ac:dyDescent="0.3">
      <c r="F728" s="5">
        <v>70.852212470881142</v>
      </c>
      <c r="G728" s="10">
        <v>727</v>
      </c>
    </row>
    <row r="729" spans="6:7" x14ac:dyDescent="0.3">
      <c r="F729" s="5">
        <v>94.131940282562695</v>
      </c>
      <c r="G729" s="3">
        <v>728</v>
      </c>
    </row>
    <row r="730" spans="6:7" x14ac:dyDescent="0.3">
      <c r="F730" s="5">
        <v>71.74789754822217</v>
      </c>
      <c r="G730" s="10">
        <v>729</v>
      </c>
    </row>
    <row r="731" spans="6:7" x14ac:dyDescent="0.3">
      <c r="F731" s="5">
        <v>100.29951996975676</v>
      </c>
      <c r="G731" s="3">
        <v>730</v>
      </c>
    </row>
    <row r="732" spans="6:7" x14ac:dyDescent="0.3">
      <c r="F732" s="5">
        <v>61.164164761304832</v>
      </c>
      <c r="G732" s="10">
        <v>731</v>
      </c>
    </row>
    <row r="733" spans="6:7" x14ac:dyDescent="0.3">
      <c r="F733" s="5">
        <v>141.28542378935902</v>
      </c>
      <c r="G733" s="3">
        <v>732</v>
      </c>
    </row>
    <row r="734" spans="6:7" x14ac:dyDescent="0.3">
      <c r="F734" s="5">
        <v>125.63974467644016</v>
      </c>
      <c r="G734" s="10">
        <v>733</v>
      </c>
    </row>
    <row r="735" spans="6:7" x14ac:dyDescent="0.3">
      <c r="F735" s="5">
        <v>97.280706021298002</v>
      </c>
      <c r="G735" s="3">
        <v>734</v>
      </c>
    </row>
    <row r="736" spans="6:7" x14ac:dyDescent="0.3">
      <c r="F736" s="5">
        <v>225.12067828578085</v>
      </c>
      <c r="G736" s="10">
        <v>735</v>
      </c>
    </row>
    <row r="737" spans="6:7" x14ac:dyDescent="0.3">
      <c r="F737" s="5">
        <v>60.212205227815609</v>
      </c>
      <c r="G737" s="3">
        <v>736</v>
      </c>
    </row>
    <row r="738" spans="6:7" x14ac:dyDescent="0.3">
      <c r="F738" s="5">
        <v>111.74123965574995</v>
      </c>
      <c r="G738" s="10">
        <v>737</v>
      </c>
    </row>
    <row r="739" spans="6:7" x14ac:dyDescent="0.3">
      <c r="F739" s="5">
        <v>163.74100350866419</v>
      </c>
      <c r="G739" s="3">
        <v>738</v>
      </c>
    </row>
    <row r="740" spans="6:7" x14ac:dyDescent="0.3">
      <c r="F740" s="5">
        <v>75.976088196917772</v>
      </c>
      <c r="G740" s="10">
        <v>739</v>
      </c>
    </row>
    <row r="741" spans="6:7" x14ac:dyDescent="0.3">
      <c r="F741" s="5">
        <v>135.33039687967124</v>
      </c>
      <c r="G741" s="3">
        <v>740</v>
      </c>
    </row>
    <row r="742" spans="6:7" x14ac:dyDescent="0.3">
      <c r="F742" s="5">
        <v>187.95639703627316</v>
      </c>
      <c r="G742" s="10">
        <v>741</v>
      </c>
    </row>
    <row r="743" spans="6:7" x14ac:dyDescent="0.3">
      <c r="F743" s="5">
        <v>100.0682387578657</v>
      </c>
      <c r="G743" s="3">
        <v>742</v>
      </c>
    </row>
    <row r="744" spans="6:7" x14ac:dyDescent="0.3">
      <c r="F744" s="5">
        <v>132.93633573413516</v>
      </c>
      <c r="G744" s="10">
        <v>743</v>
      </c>
    </row>
    <row r="745" spans="6:7" x14ac:dyDescent="0.3">
      <c r="F745" s="5">
        <v>95.12434368409086</v>
      </c>
      <c r="G745" s="3">
        <v>744</v>
      </c>
    </row>
    <row r="746" spans="6:7" x14ac:dyDescent="0.3">
      <c r="F746" s="5">
        <v>208.53689573339972</v>
      </c>
      <c r="G746" s="10">
        <v>745</v>
      </c>
    </row>
    <row r="747" spans="6:7" x14ac:dyDescent="0.3">
      <c r="F747" s="5">
        <v>107.02126086063006</v>
      </c>
      <c r="G747" s="3">
        <v>746</v>
      </c>
    </row>
    <row r="748" spans="6:7" x14ac:dyDescent="0.3">
      <c r="F748" s="5">
        <v>79.46391010374721</v>
      </c>
      <c r="G748" s="10">
        <v>747</v>
      </c>
    </row>
    <row r="749" spans="6:7" x14ac:dyDescent="0.3">
      <c r="F749" s="5">
        <v>188.50614953472524</v>
      </c>
      <c r="G749" s="3">
        <v>748</v>
      </c>
    </row>
    <row r="750" spans="6:7" x14ac:dyDescent="0.3">
      <c r="F750" s="5">
        <v>106.2197552522219</v>
      </c>
      <c r="G750" s="10">
        <v>749</v>
      </c>
    </row>
    <row r="751" spans="6:7" x14ac:dyDescent="0.3">
      <c r="F751" s="5">
        <v>103.42058135467857</v>
      </c>
      <c r="G751" s="3">
        <v>750</v>
      </c>
    </row>
    <row r="752" spans="6:7" x14ac:dyDescent="0.3">
      <c r="F752" s="5">
        <v>103.61431971171511</v>
      </c>
      <c r="G752" s="10">
        <v>751</v>
      </c>
    </row>
    <row r="753" spans="6:7" x14ac:dyDescent="0.3">
      <c r="F753" s="5">
        <v>69.064544051669657</v>
      </c>
      <c r="G753" s="3">
        <v>752</v>
      </c>
    </row>
    <row r="754" spans="6:7" x14ac:dyDescent="0.3">
      <c r="F754" s="5">
        <v>81.859503351775388</v>
      </c>
      <c r="G754" s="10">
        <v>753</v>
      </c>
    </row>
    <row r="755" spans="6:7" x14ac:dyDescent="0.3">
      <c r="F755" s="5">
        <v>66.664874991431802</v>
      </c>
      <c r="G755" s="3">
        <v>754</v>
      </c>
    </row>
    <row r="756" spans="6:7" x14ac:dyDescent="0.3">
      <c r="F756" s="5">
        <v>117.31414474184824</v>
      </c>
      <c r="G756" s="10">
        <v>755</v>
      </c>
    </row>
    <row r="757" spans="6:7" x14ac:dyDescent="0.3">
      <c r="F757" s="5">
        <v>78.653841961935285</v>
      </c>
      <c r="G757" s="3">
        <v>756</v>
      </c>
    </row>
    <row r="758" spans="6:7" x14ac:dyDescent="0.3">
      <c r="F758" s="5">
        <v>149.78247876501578</v>
      </c>
      <c r="G758" s="10">
        <v>757</v>
      </c>
    </row>
    <row r="759" spans="6:7" x14ac:dyDescent="0.3">
      <c r="F759" s="5">
        <v>128.14882114286939</v>
      </c>
      <c r="G759" s="3">
        <v>758</v>
      </c>
    </row>
    <row r="760" spans="6:7" x14ac:dyDescent="0.3">
      <c r="F760" s="5">
        <v>103.04256806932365</v>
      </c>
      <c r="G760" s="10">
        <v>759</v>
      </c>
    </row>
    <row r="761" spans="6:7" x14ac:dyDescent="0.3">
      <c r="F761" s="5">
        <v>78.347748058544198</v>
      </c>
      <c r="G761" s="3">
        <v>760</v>
      </c>
    </row>
    <row r="762" spans="6:7" x14ac:dyDescent="0.3">
      <c r="F762" s="5">
        <v>173.30686232486616</v>
      </c>
      <c r="G762" s="10">
        <v>761</v>
      </c>
    </row>
    <row r="763" spans="6:7" x14ac:dyDescent="0.3">
      <c r="F763" s="5">
        <v>85.110409199636891</v>
      </c>
      <c r="G763" s="3">
        <v>762</v>
      </c>
    </row>
    <row r="764" spans="6:7" x14ac:dyDescent="0.3">
      <c r="F764" s="5">
        <v>88.197169147692321</v>
      </c>
      <c r="G764" s="10">
        <v>763</v>
      </c>
    </row>
    <row r="765" spans="6:7" x14ac:dyDescent="0.3">
      <c r="F765" s="5">
        <v>123.960491548935</v>
      </c>
      <c r="G765" s="3">
        <v>764</v>
      </c>
    </row>
    <row r="766" spans="6:7" x14ac:dyDescent="0.3">
      <c r="F766" s="5">
        <v>103.7832991377491</v>
      </c>
      <c r="G766" s="10">
        <v>765</v>
      </c>
    </row>
    <row r="767" spans="6:7" x14ac:dyDescent="0.3">
      <c r="F767" s="5">
        <v>99.306692962850548</v>
      </c>
      <c r="G767" s="3">
        <v>766</v>
      </c>
    </row>
    <row r="768" spans="6:7" x14ac:dyDescent="0.3">
      <c r="F768" s="5">
        <v>134.3276346290275</v>
      </c>
      <c r="G768" s="10">
        <v>767</v>
      </c>
    </row>
    <row r="769" spans="6:7" x14ac:dyDescent="0.3">
      <c r="F769" s="5">
        <v>207.56365170955121</v>
      </c>
      <c r="G769" s="3">
        <v>768</v>
      </c>
    </row>
    <row r="770" spans="6:7" x14ac:dyDescent="0.3">
      <c r="F770" s="5">
        <v>114.98310434795938</v>
      </c>
      <c r="G770" s="10">
        <v>769</v>
      </c>
    </row>
    <row r="771" spans="6:7" x14ac:dyDescent="0.3">
      <c r="F771" s="5">
        <v>155.62802734140428</v>
      </c>
      <c r="G771" s="3">
        <v>770</v>
      </c>
    </row>
    <row r="772" spans="6:7" x14ac:dyDescent="0.3">
      <c r="F772" s="5">
        <v>148.8337289004856</v>
      </c>
      <c r="G772" s="10">
        <v>771</v>
      </c>
    </row>
    <row r="773" spans="6:7" x14ac:dyDescent="0.3">
      <c r="F773" s="5">
        <v>146.50126572463765</v>
      </c>
      <c r="G773" s="3">
        <v>772</v>
      </c>
    </row>
    <row r="774" spans="6:7" x14ac:dyDescent="0.3">
      <c r="F774" s="5">
        <v>103.25777918973233</v>
      </c>
      <c r="G774" s="10">
        <v>773</v>
      </c>
    </row>
    <row r="775" spans="6:7" x14ac:dyDescent="0.3">
      <c r="F775" s="5">
        <v>100.40927407164489</v>
      </c>
      <c r="G775" s="3">
        <v>774</v>
      </c>
    </row>
    <row r="776" spans="6:7" x14ac:dyDescent="0.3">
      <c r="F776" s="5">
        <v>98.705435134468203</v>
      </c>
      <c r="G776" s="10">
        <v>775</v>
      </c>
    </row>
    <row r="777" spans="6:7" x14ac:dyDescent="0.3">
      <c r="F777" s="5">
        <v>96.554358028360966</v>
      </c>
      <c r="G777" s="3">
        <v>776</v>
      </c>
    </row>
    <row r="778" spans="6:7" x14ac:dyDescent="0.3">
      <c r="F778" s="5">
        <v>143.61309213814633</v>
      </c>
      <c r="G778" s="10">
        <v>777</v>
      </c>
    </row>
    <row r="779" spans="6:7" x14ac:dyDescent="0.3">
      <c r="F779" s="5">
        <v>71.099411202708097</v>
      </c>
      <c r="G779" s="3">
        <v>778</v>
      </c>
    </row>
    <row r="780" spans="6:7" x14ac:dyDescent="0.3">
      <c r="F780" s="5">
        <v>115.51752303225874</v>
      </c>
      <c r="G780" s="10">
        <v>779</v>
      </c>
    </row>
    <row r="781" spans="6:7" x14ac:dyDescent="0.3">
      <c r="F781" s="5">
        <v>128.85739593306479</v>
      </c>
      <c r="G781" s="3">
        <v>780</v>
      </c>
    </row>
    <row r="782" spans="6:7" x14ac:dyDescent="0.3">
      <c r="F782" s="5">
        <v>68.291952933108377</v>
      </c>
      <c r="G782" s="10">
        <v>781</v>
      </c>
    </row>
    <row r="783" spans="6:7" x14ac:dyDescent="0.3">
      <c r="F783" s="5">
        <v>66.02920265318383</v>
      </c>
      <c r="G783" s="3">
        <v>782</v>
      </c>
    </row>
    <row r="784" spans="6:7" x14ac:dyDescent="0.3">
      <c r="F784" s="5">
        <v>77.189997514953902</v>
      </c>
      <c r="G784" s="10">
        <v>783</v>
      </c>
    </row>
    <row r="785" spans="6:7" x14ac:dyDescent="0.3">
      <c r="F785" s="5">
        <v>156.49770467264</v>
      </c>
      <c r="G785" s="3">
        <v>784</v>
      </c>
    </row>
    <row r="786" spans="6:7" x14ac:dyDescent="0.3">
      <c r="F786" s="5">
        <v>141.87923895163112</v>
      </c>
      <c r="G786" s="10">
        <v>785</v>
      </c>
    </row>
    <row r="787" spans="6:7" x14ac:dyDescent="0.3">
      <c r="F787" s="5">
        <v>127.30716117720758</v>
      </c>
      <c r="G787" s="3">
        <v>786</v>
      </c>
    </row>
    <row r="788" spans="6:7" x14ac:dyDescent="0.3">
      <c r="F788" s="5">
        <v>78.464659160614659</v>
      </c>
      <c r="G788" s="10">
        <v>787</v>
      </c>
    </row>
    <row r="789" spans="6:7" x14ac:dyDescent="0.3">
      <c r="F789" s="5">
        <v>109.75127094521183</v>
      </c>
      <c r="G789" s="3">
        <v>788</v>
      </c>
    </row>
    <row r="790" spans="6:7" x14ac:dyDescent="0.3">
      <c r="F790" s="5">
        <v>112.16199893431626</v>
      </c>
      <c r="G790" s="10">
        <v>789</v>
      </c>
    </row>
    <row r="791" spans="6:7" x14ac:dyDescent="0.3">
      <c r="F791" s="5">
        <v>79.143223587539268</v>
      </c>
      <c r="G791" s="3">
        <v>790</v>
      </c>
    </row>
    <row r="792" spans="6:7" x14ac:dyDescent="0.3">
      <c r="F792" s="5">
        <v>96.874988105918163</v>
      </c>
      <c r="G792" s="10">
        <v>791</v>
      </c>
    </row>
    <row r="793" spans="6:7" x14ac:dyDescent="0.3">
      <c r="F793" s="5">
        <v>115.49588850674812</v>
      </c>
      <c r="G793" s="3">
        <v>792</v>
      </c>
    </row>
    <row r="794" spans="6:7" x14ac:dyDescent="0.3">
      <c r="F794" s="5">
        <v>86.935411981756289</v>
      </c>
      <c r="G794" s="10">
        <v>793</v>
      </c>
    </row>
    <row r="795" spans="6:7" x14ac:dyDescent="0.3">
      <c r="F795" s="5">
        <v>124.4432210887478</v>
      </c>
      <c r="G795" s="3">
        <v>794</v>
      </c>
    </row>
    <row r="796" spans="6:7" x14ac:dyDescent="0.3">
      <c r="F796" s="5">
        <v>116.17565491681819</v>
      </c>
      <c r="G796" s="10">
        <v>795</v>
      </c>
    </row>
    <row r="797" spans="6:7" x14ac:dyDescent="0.3">
      <c r="F797" s="5">
        <v>170.86034317507114</v>
      </c>
      <c r="G797" s="3">
        <v>796</v>
      </c>
    </row>
    <row r="798" spans="6:7" x14ac:dyDescent="0.3">
      <c r="F798" s="5">
        <v>107.50588355400258</v>
      </c>
      <c r="G798" s="10">
        <v>797</v>
      </c>
    </row>
    <row r="799" spans="6:7" x14ac:dyDescent="0.3">
      <c r="F799" s="5">
        <v>121.89584584636654</v>
      </c>
      <c r="G799" s="3">
        <v>798</v>
      </c>
    </row>
    <row r="800" spans="6:7" x14ac:dyDescent="0.3">
      <c r="F800" s="5">
        <v>107.43116085982415</v>
      </c>
      <c r="G800" s="10">
        <v>799</v>
      </c>
    </row>
    <row r="801" spans="6:7" x14ac:dyDescent="0.3">
      <c r="F801" s="5">
        <v>98.500100440424902</v>
      </c>
      <c r="G801" s="3">
        <v>800</v>
      </c>
    </row>
    <row r="802" spans="6:7" x14ac:dyDescent="0.3">
      <c r="F802" s="5">
        <v>105.76215283705878</v>
      </c>
      <c r="G802" s="10">
        <v>801</v>
      </c>
    </row>
    <row r="803" spans="6:7" x14ac:dyDescent="0.3">
      <c r="F803" s="5">
        <v>105.06809175582268</v>
      </c>
      <c r="G803" s="3">
        <v>802</v>
      </c>
    </row>
    <row r="804" spans="6:7" x14ac:dyDescent="0.3">
      <c r="F804" s="5">
        <v>93.978230230178994</v>
      </c>
      <c r="G804" s="10">
        <v>803</v>
      </c>
    </row>
    <row r="805" spans="6:7" x14ac:dyDescent="0.3">
      <c r="F805" s="5">
        <v>124.03195099842706</v>
      </c>
      <c r="G805" s="3">
        <v>804</v>
      </c>
    </row>
    <row r="806" spans="6:7" x14ac:dyDescent="0.3">
      <c r="F806" s="5">
        <v>181.90334942187667</v>
      </c>
      <c r="G806" s="10">
        <v>805</v>
      </c>
    </row>
    <row r="807" spans="6:7" x14ac:dyDescent="0.3">
      <c r="F807" s="5">
        <v>92.856456353170458</v>
      </c>
      <c r="G807" s="3">
        <v>806</v>
      </c>
    </row>
    <row r="808" spans="6:7" x14ac:dyDescent="0.3">
      <c r="F808" s="5">
        <v>65.764638573678241</v>
      </c>
      <c r="G808" s="10">
        <v>807</v>
      </c>
    </row>
    <row r="809" spans="6:7" x14ac:dyDescent="0.3">
      <c r="F809" s="5">
        <v>91.850575503214316</v>
      </c>
      <c r="G809" s="3">
        <v>808</v>
      </c>
    </row>
    <row r="810" spans="6:7" x14ac:dyDescent="0.3">
      <c r="F810" s="5">
        <v>202.09458243560005</v>
      </c>
      <c r="G810" s="10">
        <v>809</v>
      </c>
    </row>
    <row r="811" spans="6:7" x14ac:dyDescent="0.3">
      <c r="F811" s="5">
        <v>68.892464458949064</v>
      </c>
      <c r="G811" s="3">
        <v>810</v>
      </c>
    </row>
    <row r="812" spans="6:7" x14ac:dyDescent="0.3">
      <c r="F812" s="5">
        <v>108.12076036311673</v>
      </c>
      <c r="G812" s="10">
        <v>811</v>
      </c>
    </row>
    <row r="813" spans="6:7" x14ac:dyDescent="0.3">
      <c r="F813" s="5">
        <v>129.63042097892364</v>
      </c>
      <c r="G813" s="3">
        <v>812</v>
      </c>
    </row>
    <row r="814" spans="6:7" x14ac:dyDescent="0.3">
      <c r="F814" s="5">
        <v>132.67655436888435</v>
      </c>
      <c r="G814" s="10">
        <v>813</v>
      </c>
    </row>
    <row r="815" spans="6:7" x14ac:dyDescent="0.3">
      <c r="F815" s="5">
        <v>153.16077512616386</v>
      </c>
      <c r="G815" s="3">
        <v>814</v>
      </c>
    </row>
    <row r="816" spans="6:7" x14ac:dyDescent="0.3">
      <c r="F816" s="5">
        <v>99.008178593603247</v>
      </c>
      <c r="G816" s="10">
        <v>815</v>
      </c>
    </row>
    <row r="817" spans="6:7" x14ac:dyDescent="0.3">
      <c r="F817" s="5">
        <v>105.99713344639115</v>
      </c>
      <c r="G817" s="3">
        <v>816</v>
      </c>
    </row>
    <row r="818" spans="6:7" x14ac:dyDescent="0.3">
      <c r="F818" s="5">
        <v>86.309047143029758</v>
      </c>
      <c r="G818" s="10">
        <v>817</v>
      </c>
    </row>
    <row r="819" spans="6:7" x14ac:dyDescent="0.3">
      <c r="F819" s="5">
        <v>78.122264104418093</v>
      </c>
      <c r="G819" s="3">
        <v>818</v>
      </c>
    </row>
    <row r="820" spans="6:7" x14ac:dyDescent="0.3">
      <c r="F820" s="5">
        <v>113.91485911137129</v>
      </c>
      <c r="G820" s="10">
        <v>819</v>
      </c>
    </row>
    <row r="821" spans="6:7" x14ac:dyDescent="0.3">
      <c r="F821" s="5">
        <v>206.71129365534676</v>
      </c>
      <c r="G821" s="3">
        <v>820</v>
      </c>
    </row>
    <row r="822" spans="6:7" x14ac:dyDescent="0.3">
      <c r="F822" s="5">
        <v>106.35683425391686</v>
      </c>
      <c r="G822" s="10">
        <v>821</v>
      </c>
    </row>
    <row r="823" spans="6:7" x14ac:dyDescent="0.3">
      <c r="F823" s="5">
        <v>78.55087215154478</v>
      </c>
      <c r="G823" s="3">
        <v>822</v>
      </c>
    </row>
    <row r="824" spans="6:7" x14ac:dyDescent="0.3">
      <c r="F824" s="5">
        <v>68.008762989229425</v>
      </c>
      <c r="G824" s="10">
        <v>823</v>
      </c>
    </row>
    <row r="825" spans="6:7" x14ac:dyDescent="0.3">
      <c r="F825" s="5">
        <v>78.628871460198255</v>
      </c>
      <c r="G825" s="3">
        <v>824</v>
      </c>
    </row>
    <row r="826" spans="6:7" x14ac:dyDescent="0.3">
      <c r="F826" s="5">
        <v>86.143927926724871</v>
      </c>
      <c r="G826" s="10">
        <v>825</v>
      </c>
    </row>
    <row r="827" spans="6:7" x14ac:dyDescent="0.3">
      <c r="F827" s="5">
        <v>163.14711911431024</v>
      </c>
      <c r="G827" s="3">
        <v>826</v>
      </c>
    </row>
    <row r="828" spans="6:7" x14ac:dyDescent="0.3">
      <c r="F828" s="5">
        <v>132.96864469167065</v>
      </c>
      <c r="G828" s="10">
        <v>827</v>
      </c>
    </row>
    <row r="829" spans="6:7" x14ac:dyDescent="0.3">
      <c r="F829" s="5">
        <v>135.60674366873343</v>
      </c>
      <c r="G829" s="3">
        <v>828</v>
      </c>
    </row>
    <row r="830" spans="6:7" x14ac:dyDescent="0.3">
      <c r="F830" s="5">
        <v>122.36380893147174</v>
      </c>
      <c r="G830" s="10">
        <v>829</v>
      </c>
    </row>
    <row r="831" spans="6:7" x14ac:dyDescent="0.3">
      <c r="F831" s="5">
        <v>135.01111179580195</v>
      </c>
      <c r="G831" s="3">
        <v>830</v>
      </c>
    </row>
    <row r="832" spans="6:7" x14ac:dyDescent="0.3">
      <c r="F832" s="5">
        <v>110.34472242958685</v>
      </c>
      <c r="G832" s="10">
        <v>831</v>
      </c>
    </row>
    <row r="833" spans="6:7" x14ac:dyDescent="0.3">
      <c r="F833" s="5">
        <v>78.228305147313648</v>
      </c>
      <c r="G833" s="3">
        <v>832</v>
      </c>
    </row>
    <row r="834" spans="6:7" x14ac:dyDescent="0.3">
      <c r="F834" s="5">
        <v>169.68403213730409</v>
      </c>
      <c r="G834" s="10">
        <v>833</v>
      </c>
    </row>
    <row r="835" spans="6:7" x14ac:dyDescent="0.3">
      <c r="F835" s="5">
        <v>77.874462445247687</v>
      </c>
      <c r="G835" s="3">
        <v>834</v>
      </c>
    </row>
    <row r="836" spans="6:7" x14ac:dyDescent="0.3">
      <c r="F836" s="5">
        <v>103.55792174327182</v>
      </c>
      <c r="G836" s="10">
        <v>835</v>
      </c>
    </row>
    <row r="837" spans="6:7" x14ac:dyDescent="0.3">
      <c r="F837" s="5">
        <v>78.84860591127304</v>
      </c>
      <c r="G837" s="3">
        <v>836</v>
      </c>
    </row>
    <row r="838" spans="6:7" x14ac:dyDescent="0.3">
      <c r="F838" s="5">
        <v>78.494337989075831</v>
      </c>
      <c r="G838" s="10">
        <v>837</v>
      </c>
    </row>
    <row r="839" spans="6:7" x14ac:dyDescent="0.3">
      <c r="F839" s="5">
        <v>63.659918741272101</v>
      </c>
      <c r="G839" s="3">
        <v>838</v>
      </c>
    </row>
    <row r="840" spans="6:7" x14ac:dyDescent="0.3">
      <c r="F840" s="5">
        <v>64.441020738026083</v>
      </c>
      <c r="G840" s="10">
        <v>839</v>
      </c>
    </row>
    <row r="841" spans="6:7" x14ac:dyDescent="0.3">
      <c r="F841" s="5">
        <v>95.953312540932188</v>
      </c>
      <c r="G841" s="3">
        <v>840</v>
      </c>
    </row>
    <row r="842" spans="6:7" x14ac:dyDescent="0.3">
      <c r="F842" s="5">
        <v>100.13094390047526</v>
      </c>
      <c r="G842" s="10">
        <v>841</v>
      </c>
    </row>
    <row r="843" spans="6:7" x14ac:dyDescent="0.3">
      <c r="F843" s="5">
        <v>73.201054247172664</v>
      </c>
      <c r="G843" s="3">
        <v>842</v>
      </c>
    </row>
    <row r="844" spans="6:7" x14ac:dyDescent="0.3">
      <c r="F844" s="5">
        <v>186.44099862230004</v>
      </c>
      <c r="G844" s="10">
        <v>843</v>
      </c>
    </row>
    <row r="845" spans="6:7" x14ac:dyDescent="0.3">
      <c r="F845" s="5">
        <v>73.831283760340696</v>
      </c>
      <c r="G845" s="3">
        <v>844</v>
      </c>
    </row>
    <row r="846" spans="6:7" x14ac:dyDescent="0.3">
      <c r="F846" s="5">
        <v>131.71905838750925</v>
      </c>
      <c r="G846" s="10">
        <v>845</v>
      </c>
    </row>
    <row r="847" spans="6:7" x14ac:dyDescent="0.3">
      <c r="F847" s="5">
        <v>103.12666758476021</v>
      </c>
      <c r="G847" s="3">
        <v>846</v>
      </c>
    </row>
    <row r="848" spans="6:7" x14ac:dyDescent="0.3">
      <c r="F848" s="5">
        <v>108.56614241307933</v>
      </c>
      <c r="G848" s="10">
        <v>847</v>
      </c>
    </row>
    <row r="849" spans="6:7" x14ac:dyDescent="0.3">
      <c r="F849" s="5">
        <v>99.012508315297822</v>
      </c>
      <c r="G849" s="3">
        <v>848</v>
      </c>
    </row>
    <row r="850" spans="6:7" x14ac:dyDescent="0.3">
      <c r="F850" s="5">
        <v>133.29623133345825</v>
      </c>
      <c r="G850" s="10">
        <v>849</v>
      </c>
    </row>
    <row r="851" spans="6:7" x14ac:dyDescent="0.3">
      <c r="F851" s="5">
        <v>80.487290816348477</v>
      </c>
      <c r="G851" s="3">
        <v>850</v>
      </c>
    </row>
    <row r="852" spans="6:7" x14ac:dyDescent="0.3">
      <c r="F852" s="5">
        <v>117.140270936007</v>
      </c>
      <c r="G852" s="10">
        <v>851</v>
      </c>
    </row>
    <row r="853" spans="6:7" x14ac:dyDescent="0.3">
      <c r="F853" s="5">
        <v>71.949351809554898</v>
      </c>
      <c r="G853" s="3">
        <v>852</v>
      </c>
    </row>
    <row r="854" spans="6:7" x14ac:dyDescent="0.3">
      <c r="F854" s="5">
        <v>132.62774200492561</v>
      </c>
      <c r="G854" s="10">
        <v>853</v>
      </c>
    </row>
    <row r="855" spans="6:7" x14ac:dyDescent="0.3">
      <c r="F855" s="5">
        <v>98.889070760646575</v>
      </c>
      <c r="G855" s="3">
        <v>854</v>
      </c>
    </row>
    <row r="856" spans="6:7" x14ac:dyDescent="0.3">
      <c r="F856" s="5">
        <v>73.425049661131979</v>
      </c>
      <c r="G856" s="10">
        <v>855</v>
      </c>
    </row>
    <row r="857" spans="6:7" x14ac:dyDescent="0.3">
      <c r="F857" s="5">
        <v>78.771768989706914</v>
      </c>
      <c r="G857" s="3">
        <v>856</v>
      </c>
    </row>
    <row r="858" spans="6:7" x14ac:dyDescent="0.3">
      <c r="F858" s="5">
        <v>83.568841389807986</v>
      </c>
      <c r="G858" s="10">
        <v>857</v>
      </c>
    </row>
    <row r="859" spans="6:7" x14ac:dyDescent="0.3">
      <c r="F859" s="5">
        <v>97.415516935540651</v>
      </c>
      <c r="G859" s="3">
        <v>858</v>
      </c>
    </row>
    <row r="860" spans="6:7" x14ac:dyDescent="0.3">
      <c r="F860" s="5">
        <v>97.100241511493437</v>
      </c>
      <c r="G860" s="10">
        <v>859</v>
      </c>
    </row>
    <row r="861" spans="6:7" x14ac:dyDescent="0.3">
      <c r="F861" s="5">
        <v>84.546722408185246</v>
      </c>
      <c r="G861" s="3">
        <v>860</v>
      </c>
    </row>
    <row r="862" spans="6:7" x14ac:dyDescent="0.3">
      <c r="F862" s="5">
        <v>170.92638668359234</v>
      </c>
      <c r="G862" s="10">
        <v>861</v>
      </c>
    </row>
    <row r="863" spans="6:7" x14ac:dyDescent="0.3">
      <c r="F863" s="5">
        <v>220.70019908215676</v>
      </c>
      <c r="G863" s="3">
        <v>862</v>
      </c>
    </row>
    <row r="864" spans="6:7" x14ac:dyDescent="0.3">
      <c r="F864" s="5">
        <v>99.297341365957124</v>
      </c>
      <c r="G864" s="10">
        <v>863</v>
      </c>
    </row>
    <row r="865" spans="6:7" x14ac:dyDescent="0.3">
      <c r="F865" s="5">
        <v>86.815036944047606</v>
      </c>
      <c r="G865" s="3">
        <v>864</v>
      </c>
    </row>
    <row r="866" spans="6:7" x14ac:dyDescent="0.3">
      <c r="F866" s="5">
        <v>60.997529973572092</v>
      </c>
      <c r="G866" s="10">
        <v>865</v>
      </c>
    </row>
    <row r="867" spans="6:7" x14ac:dyDescent="0.3">
      <c r="F867" s="5">
        <v>73.137566461057474</v>
      </c>
      <c r="G867" s="3">
        <v>866</v>
      </c>
    </row>
    <row r="868" spans="6:7" x14ac:dyDescent="0.3">
      <c r="F868" s="5">
        <v>78.336675190895249</v>
      </c>
      <c r="G868" s="10">
        <v>867</v>
      </c>
    </row>
    <row r="869" spans="6:7" x14ac:dyDescent="0.3">
      <c r="F869" s="5">
        <v>84.576887135356131</v>
      </c>
      <c r="G869" s="3">
        <v>868</v>
      </c>
    </row>
    <row r="870" spans="6:7" x14ac:dyDescent="0.3">
      <c r="F870" s="5">
        <v>94.966843260385716</v>
      </c>
      <c r="G870" s="10">
        <v>869</v>
      </c>
    </row>
    <row r="871" spans="6:7" x14ac:dyDescent="0.3">
      <c r="F871" s="5">
        <v>134.00700183272619</v>
      </c>
      <c r="G871" s="3">
        <v>870</v>
      </c>
    </row>
    <row r="872" spans="6:7" x14ac:dyDescent="0.3">
      <c r="F872" s="5">
        <v>103.37475063634064</v>
      </c>
      <c r="G872" s="10">
        <v>871</v>
      </c>
    </row>
    <row r="873" spans="6:7" x14ac:dyDescent="0.3">
      <c r="F873" s="5">
        <v>74.747330889467747</v>
      </c>
      <c r="G873" s="3">
        <v>872</v>
      </c>
    </row>
    <row r="874" spans="6:7" x14ac:dyDescent="0.3">
      <c r="F874" s="5">
        <v>132.68168295728853</v>
      </c>
      <c r="G874" s="10">
        <v>873</v>
      </c>
    </row>
    <row r="875" spans="6:7" x14ac:dyDescent="0.3">
      <c r="F875" s="5">
        <v>139.50326097838683</v>
      </c>
      <c r="G875" s="3">
        <v>874</v>
      </c>
    </row>
    <row r="876" spans="6:7" x14ac:dyDescent="0.3">
      <c r="F876" s="5">
        <v>102.35792155284565</v>
      </c>
      <c r="G876" s="10">
        <v>875</v>
      </c>
    </row>
    <row r="877" spans="6:7" x14ac:dyDescent="0.3">
      <c r="F877" s="5">
        <v>114.41436807966403</v>
      </c>
      <c r="G877" s="3">
        <v>876</v>
      </c>
    </row>
    <row r="878" spans="6:7" x14ac:dyDescent="0.3">
      <c r="F878" s="5">
        <v>138.9634052637239</v>
      </c>
      <c r="G878" s="10">
        <v>877</v>
      </c>
    </row>
    <row r="879" spans="6:7" x14ac:dyDescent="0.3">
      <c r="F879" s="5">
        <v>78.317570938948521</v>
      </c>
      <c r="G879" s="3">
        <v>878</v>
      </c>
    </row>
    <row r="880" spans="6:7" x14ac:dyDescent="0.3">
      <c r="F880" s="5">
        <v>110.76912560608582</v>
      </c>
      <c r="G880" s="10">
        <v>879</v>
      </c>
    </row>
    <row r="881" spans="6:7" x14ac:dyDescent="0.3">
      <c r="F881" s="5">
        <v>116.29310796291171</v>
      </c>
      <c r="G881" s="3">
        <v>880</v>
      </c>
    </row>
    <row r="882" spans="6:7" x14ac:dyDescent="0.3">
      <c r="F882" s="5">
        <v>69.680912985512919</v>
      </c>
      <c r="G882" s="10">
        <v>881</v>
      </c>
    </row>
    <row r="883" spans="6:7" x14ac:dyDescent="0.3">
      <c r="F883" s="5">
        <v>235.47885255705279</v>
      </c>
      <c r="G883" s="3">
        <v>882</v>
      </c>
    </row>
    <row r="884" spans="6:7" x14ac:dyDescent="0.3">
      <c r="F884" s="5">
        <v>79.104288540365289</v>
      </c>
      <c r="G884" s="10">
        <v>883</v>
      </c>
    </row>
    <row r="885" spans="6:7" x14ac:dyDescent="0.3">
      <c r="F885" s="5">
        <v>94.872313910587238</v>
      </c>
      <c r="G885" s="3">
        <v>884</v>
      </c>
    </row>
    <row r="886" spans="6:7" x14ac:dyDescent="0.3">
      <c r="F886" s="5">
        <v>76.566097431726718</v>
      </c>
      <c r="G886" s="10">
        <v>885</v>
      </c>
    </row>
    <row r="887" spans="6:7" x14ac:dyDescent="0.3">
      <c r="F887" s="5">
        <v>116.29885854094822</v>
      </c>
      <c r="G887" s="3">
        <v>886</v>
      </c>
    </row>
    <row r="888" spans="6:7" x14ac:dyDescent="0.3">
      <c r="F888" s="5">
        <v>126.60227363394168</v>
      </c>
      <c r="G888" s="10">
        <v>887</v>
      </c>
    </row>
    <row r="889" spans="6:7" x14ac:dyDescent="0.3">
      <c r="F889" s="5">
        <v>76.386938885225248</v>
      </c>
      <c r="G889" s="3">
        <v>888</v>
      </c>
    </row>
    <row r="890" spans="6:7" x14ac:dyDescent="0.3">
      <c r="F890" s="5">
        <v>120.18909112793813</v>
      </c>
      <c r="G890" s="10">
        <v>889</v>
      </c>
    </row>
    <row r="891" spans="6:7" x14ac:dyDescent="0.3">
      <c r="F891" s="5">
        <v>94.46913829422364</v>
      </c>
      <c r="G891" s="3">
        <v>890</v>
      </c>
    </row>
    <row r="892" spans="6:7" x14ac:dyDescent="0.3">
      <c r="F892" s="5">
        <v>94.70031054608333</v>
      </c>
      <c r="G892" s="10">
        <v>891</v>
      </c>
    </row>
    <row r="893" spans="6:7" x14ac:dyDescent="0.3">
      <c r="F893" s="5">
        <v>123.15389276054522</v>
      </c>
      <c r="G893" s="3">
        <v>892</v>
      </c>
    </row>
    <row r="894" spans="6:7" x14ac:dyDescent="0.3">
      <c r="F894" s="5">
        <v>72.892423278891656</v>
      </c>
      <c r="G894" s="10">
        <v>893</v>
      </c>
    </row>
    <row r="895" spans="6:7" x14ac:dyDescent="0.3">
      <c r="F895" s="5">
        <v>155.34744610297662</v>
      </c>
      <c r="G895" s="3">
        <v>894</v>
      </c>
    </row>
    <row r="896" spans="6:7" x14ac:dyDescent="0.3">
      <c r="F896" s="5">
        <v>145.03680506926941</v>
      </c>
      <c r="G896" s="10">
        <v>895</v>
      </c>
    </row>
    <row r="897" spans="6:7" x14ac:dyDescent="0.3">
      <c r="F897" s="5">
        <v>69.888898488729836</v>
      </c>
      <c r="G897" s="3">
        <v>896</v>
      </c>
    </row>
    <row r="898" spans="6:7" x14ac:dyDescent="0.3">
      <c r="F898" s="5">
        <v>191.24548709036986</v>
      </c>
      <c r="G898" s="10">
        <v>897</v>
      </c>
    </row>
    <row r="899" spans="6:7" x14ac:dyDescent="0.3">
      <c r="F899" s="5">
        <v>123.13475870496333</v>
      </c>
      <c r="G899" s="3">
        <v>898</v>
      </c>
    </row>
    <row r="900" spans="6:7" x14ac:dyDescent="0.3">
      <c r="F900" s="5">
        <v>144.28019058543671</v>
      </c>
      <c r="G900" s="10">
        <v>899</v>
      </c>
    </row>
    <row r="901" spans="6:7" x14ac:dyDescent="0.3">
      <c r="F901" s="5">
        <v>128.12973122457512</v>
      </c>
      <c r="G901" s="3">
        <v>900</v>
      </c>
    </row>
    <row r="902" spans="6:7" x14ac:dyDescent="0.3">
      <c r="F902" s="5">
        <v>157.69539745186572</v>
      </c>
      <c r="G902" s="10">
        <v>901</v>
      </c>
    </row>
    <row r="903" spans="6:7" x14ac:dyDescent="0.3">
      <c r="F903" s="5">
        <v>97.888667020760963</v>
      </c>
      <c r="G903" s="3">
        <v>902</v>
      </c>
    </row>
    <row r="904" spans="6:7" x14ac:dyDescent="0.3">
      <c r="F904" s="5">
        <v>77.824034704116684</v>
      </c>
      <c r="G904" s="10">
        <v>903</v>
      </c>
    </row>
    <row r="905" spans="6:7" x14ac:dyDescent="0.3">
      <c r="F905" s="5">
        <v>137.49369010195196</v>
      </c>
      <c r="G905" s="3">
        <v>904</v>
      </c>
    </row>
    <row r="906" spans="6:7" x14ac:dyDescent="0.3">
      <c r="F906" s="5">
        <v>84.834513954411406</v>
      </c>
      <c r="G906" s="10">
        <v>905</v>
      </c>
    </row>
    <row r="907" spans="6:7" x14ac:dyDescent="0.3">
      <c r="F907" s="5">
        <v>63.160353236965641</v>
      </c>
      <c r="G907" s="3">
        <v>906</v>
      </c>
    </row>
    <row r="908" spans="6:7" x14ac:dyDescent="0.3">
      <c r="F908" s="5">
        <v>75.20793725399669</v>
      </c>
      <c r="G908" s="10">
        <v>907</v>
      </c>
    </row>
    <row r="909" spans="6:7" x14ac:dyDescent="0.3">
      <c r="F909" s="5">
        <v>96.689875546064442</v>
      </c>
      <c r="G909" s="3">
        <v>908</v>
      </c>
    </row>
    <row r="910" spans="6:7" x14ac:dyDescent="0.3">
      <c r="F910" s="5">
        <v>96.329415697288383</v>
      </c>
      <c r="G910" s="10">
        <v>909</v>
      </c>
    </row>
    <row r="911" spans="6:7" x14ac:dyDescent="0.3">
      <c r="F911" s="5">
        <v>119.68126281056686</v>
      </c>
      <c r="G911" s="3">
        <v>910</v>
      </c>
    </row>
    <row r="912" spans="6:7" x14ac:dyDescent="0.3">
      <c r="F912" s="5">
        <v>92.001334451436279</v>
      </c>
      <c r="G912" s="10">
        <v>911</v>
      </c>
    </row>
    <row r="913" spans="6:7" x14ac:dyDescent="0.3">
      <c r="F913" s="5">
        <v>98.588354167673856</v>
      </c>
      <c r="G913" s="3">
        <v>912</v>
      </c>
    </row>
    <row r="914" spans="6:7" x14ac:dyDescent="0.3">
      <c r="F914" s="5">
        <v>75.636612418784779</v>
      </c>
      <c r="G914" s="10">
        <v>913</v>
      </c>
    </row>
    <row r="915" spans="6:7" x14ac:dyDescent="0.3">
      <c r="F915" s="5">
        <v>112.3255244399797</v>
      </c>
      <c r="G915" s="3">
        <v>914</v>
      </c>
    </row>
    <row r="916" spans="6:7" x14ac:dyDescent="0.3">
      <c r="F916" s="5">
        <v>147.86742013091617</v>
      </c>
      <c r="G916" s="10">
        <v>915</v>
      </c>
    </row>
    <row r="917" spans="6:7" x14ac:dyDescent="0.3">
      <c r="F917" s="5">
        <v>163.86446496183783</v>
      </c>
      <c r="G917" s="3">
        <v>916</v>
      </c>
    </row>
    <row r="918" spans="6:7" x14ac:dyDescent="0.3">
      <c r="F918" s="5">
        <v>87.395219698225233</v>
      </c>
      <c r="G918" s="10">
        <v>917</v>
      </c>
    </row>
    <row r="919" spans="6:7" x14ac:dyDescent="0.3">
      <c r="F919" s="5">
        <v>99.401952776993937</v>
      </c>
      <c r="G919" s="3">
        <v>918</v>
      </c>
    </row>
    <row r="920" spans="6:7" x14ac:dyDescent="0.3">
      <c r="F920" s="5">
        <v>151.27163570437656</v>
      </c>
      <c r="G920" s="10">
        <v>919</v>
      </c>
    </row>
    <row r="921" spans="6:7" x14ac:dyDescent="0.3">
      <c r="F921" s="5">
        <v>70.270747477031605</v>
      </c>
      <c r="G921" s="3">
        <v>920</v>
      </c>
    </row>
    <row r="922" spans="6:7" x14ac:dyDescent="0.3">
      <c r="F922" s="5">
        <v>80.574164763065497</v>
      </c>
      <c r="G922" s="10">
        <v>921</v>
      </c>
    </row>
    <row r="923" spans="6:7" x14ac:dyDescent="0.3">
      <c r="F923" s="5">
        <v>116.24854978211515</v>
      </c>
      <c r="G923" s="3">
        <v>922</v>
      </c>
    </row>
    <row r="924" spans="6:7" x14ac:dyDescent="0.3">
      <c r="F924" s="5">
        <v>78.200164531926106</v>
      </c>
      <c r="G924" s="10">
        <v>923</v>
      </c>
    </row>
    <row r="925" spans="6:7" x14ac:dyDescent="0.3">
      <c r="F925" s="5">
        <v>95.80678149905016</v>
      </c>
      <c r="G925" s="3">
        <v>924</v>
      </c>
    </row>
    <row r="926" spans="6:7" x14ac:dyDescent="0.3">
      <c r="F926" s="5">
        <v>103.20562425432759</v>
      </c>
      <c r="G926" s="10">
        <v>925</v>
      </c>
    </row>
    <row r="927" spans="6:7" x14ac:dyDescent="0.3">
      <c r="F927" s="5">
        <v>102.23299145970478</v>
      </c>
      <c r="G927" s="3">
        <v>926</v>
      </c>
    </row>
    <row r="928" spans="6:7" x14ac:dyDescent="0.3">
      <c r="F928" s="5">
        <v>97.162644552376506</v>
      </c>
      <c r="G928" s="10">
        <v>927</v>
      </c>
    </row>
    <row r="929" spans="6:7" x14ac:dyDescent="0.3">
      <c r="F929" s="5">
        <v>108.49397933696814</v>
      </c>
      <c r="G929" s="3">
        <v>928</v>
      </c>
    </row>
    <row r="930" spans="6:7" x14ac:dyDescent="0.3">
      <c r="F930" s="5">
        <v>135.14041836663537</v>
      </c>
      <c r="G930" s="10">
        <v>929</v>
      </c>
    </row>
    <row r="931" spans="6:7" x14ac:dyDescent="0.3">
      <c r="F931" s="5">
        <v>71.555578224301712</v>
      </c>
      <c r="G931" s="3">
        <v>930</v>
      </c>
    </row>
    <row r="932" spans="6:7" x14ac:dyDescent="0.3">
      <c r="F932" s="5">
        <v>136.60359222754485</v>
      </c>
      <c r="G932" s="10">
        <v>931</v>
      </c>
    </row>
    <row r="933" spans="6:7" x14ac:dyDescent="0.3">
      <c r="F933" s="5">
        <v>86.492795349102764</v>
      </c>
      <c r="G933" s="3">
        <v>932</v>
      </c>
    </row>
    <row r="934" spans="6:7" x14ac:dyDescent="0.3">
      <c r="F934" s="5">
        <v>66.749097135316262</v>
      </c>
      <c r="G934" s="10">
        <v>933</v>
      </c>
    </row>
    <row r="935" spans="6:7" x14ac:dyDescent="0.3">
      <c r="F935" s="5">
        <v>129.97495910321828</v>
      </c>
      <c r="G935" s="3">
        <v>934</v>
      </c>
    </row>
    <row r="936" spans="6:7" x14ac:dyDescent="0.3">
      <c r="F936" s="5">
        <v>134.68938346192388</v>
      </c>
      <c r="G936" s="10">
        <v>935</v>
      </c>
    </row>
    <row r="937" spans="6:7" x14ac:dyDescent="0.3">
      <c r="F937" s="5">
        <v>62.229153984373696</v>
      </c>
      <c r="G937" s="3">
        <v>936</v>
      </c>
    </row>
    <row r="938" spans="6:7" x14ac:dyDescent="0.3">
      <c r="F938" s="5">
        <v>177.47563382086355</v>
      </c>
      <c r="G938" s="10">
        <v>937</v>
      </c>
    </row>
    <row r="939" spans="6:7" x14ac:dyDescent="0.3">
      <c r="F939" s="5">
        <v>115.50735302990888</v>
      </c>
      <c r="G939" s="3">
        <v>938</v>
      </c>
    </row>
    <row r="940" spans="6:7" x14ac:dyDescent="0.3">
      <c r="F940" s="5">
        <v>117.22063172122635</v>
      </c>
      <c r="G940" s="10">
        <v>939</v>
      </c>
    </row>
    <row r="941" spans="6:7" x14ac:dyDescent="0.3">
      <c r="F941" s="5">
        <v>79.114263151263359</v>
      </c>
      <c r="G941" s="3">
        <v>940</v>
      </c>
    </row>
    <row r="942" spans="6:7" x14ac:dyDescent="0.3">
      <c r="F942" s="5">
        <v>124.31676388185596</v>
      </c>
      <c r="G942" s="10">
        <v>941</v>
      </c>
    </row>
    <row r="943" spans="6:7" x14ac:dyDescent="0.3">
      <c r="F943" s="5">
        <v>115.37542010742315</v>
      </c>
      <c r="G943" s="3">
        <v>942</v>
      </c>
    </row>
    <row r="944" spans="6:7" x14ac:dyDescent="0.3">
      <c r="F944" s="5">
        <v>76.965876553400278</v>
      </c>
      <c r="G944" s="10">
        <v>943</v>
      </c>
    </row>
    <row r="945" spans="6:7" x14ac:dyDescent="0.3">
      <c r="F945" s="5">
        <v>110.55961011416292</v>
      </c>
      <c r="G945" s="3">
        <v>944</v>
      </c>
    </row>
    <row r="946" spans="6:7" x14ac:dyDescent="0.3">
      <c r="F946" s="5">
        <v>82.991632736143274</v>
      </c>
      <c r="G946" s="10">
        <v>945</v>
      </c>
    </row>
    <row r="947" spans="6:7" x14ac:dyDescent="0.3">
      <c r="F947" s="5">
        <v>71.260182543184669</v>
      </c>
      <c r="G947" s="3">
        <v>946</v>
      </c>
    </row>
    <row r="948" spans="6:7" x14ac:dyDescent="0.3">
      <c r="F948" s="5">
        <v>83.260632586166679</v>
      </c>
      <c r="G948" s="10">
        <v>947</v>
      </c>
    </row>
    <row r="949" spans="6:7" x14ac:dyDescent="0.3">
      <c r="F949" s="5">
        <v>161.56389638586526</v>
      </c>
      <c r="G949" s="3">
        <v>948</v>
      </c>
    </row>
    <row r="950" spans="6:7" x14ac:dyDescent="0.3">
      <c r="F950" s="5">
        <v>80.533865935258888</v>
      </c>
      <c r="G950" s="10">
        <v>949</v>
      </c>
    </row>
    <row r="951" spans="6:7" x14ac:dyDescent="0.3">
      <c r="F951" s="5">
        <v>167.1687797351388</v>
      </c>
      <c r="G951" s="3">
        <v>950</v>
      </c>
    </row>
    <row r="952" spans="6:7" x14ac:dyDescent="0.3">
      <c r="F952" s="5">
        <v>120.76876283755421</v>
      </c>
      <c r="G952" s="10">
        <v>951</v>
      </c>
    </row>
    <row r="953" spans="6:7" x14ac:dyDescent="0.3">
      <c r="F953" s="5">
        <v>151.39553206834151</v>
      </c>
      <c r="G953" s="3">
        <v>952</v>
      </c>
    </row>
    <row r="954" spans="6:7" x14ac:dyDescent="0.3">
      <c r="F954" s="5">
        <v>118.5232678763841</v>
      </c>
      <c r="G954" s="10">
        <v>953</v>
      </c>
    </row>
    <row r="955" spans="6:7" x14ac:dyDescent="0.3">
      <c r="F955" s="5">
        <v>127.38517645758851</v>
      </c>
      <c r="G955" s="3">
        <v>954</v>
      </c>
    </row>
    <row r="956" spans="6:7" x14ac:dyDescent="0.3">
      <c r="F956" s="5">
        <v>163.89731979356992</v>
      </c>
      <c r="G956" s="10">
        <v>955</v>
      </c>
    </row>
    <row r="957" spans="6:7" x14ac:dyDescent="0.3">
      <c r="F957" s="5">
        <v>87.308889299499853</v>
      </c>
      <c r="G957" s="3">
        <v>956</v>
      </c>
    </row>
    <row r="958" spans="6:7" x14ac:dyDescent="0.3">
      <c r="F958" s="5">
        <v>107.43838605029745</v>
      </c>
      <c r="G958" s="10">
        <v>957</v>
      </c>
    </row>
    <row r="959" spans="6:7" x14ac:dyDescent="0.3">
      <c r="F959" s="5">
        <v>121.30802075950679</v>
      </c>
      <c r="G959" s="3">
        <v>958</v>
      </c>
    </row>
    <row r="960" spans="6:7" x14ac:dyDescent="0.3">
      <c r="F960" s="5">
        <v>196.80319851229231</v>
      </c>
      <c r="G960" s="10">
        <v>959</v>
      </c>
    </row>
    <row r="961" spans="6:7" x14ac:dyDescent="0.3">
      <c r="F961" s="5">
        <v>78.048669101070843</v>
      </c>
      <c r="G961" s="3">
        <v>960</v>
      </c>
    </row>
    <row r="962" spans="6:7" x14ac:dyDescent="0.3">
      <c r="F962" s="5">
        <v>78.494414339646042</v>
      </c>
      <c r="G962" s="10">
        <v>961</v>
      </c>
    </row>
    <row r="963" spans="6:7" x14ac:dyDescent="0.3">
      <c r="F963" s="5">
        <v>84.609848304290338</v>
      </c>
      <c r="G963" s="3">
        <v>962</v>
      </c>
    </row>
    <row r="964" spans="6:7" x14ac:dyDescent="0.3">
      <c r="F964" s="5">
        <v>109.39469658371969</v>
      </c>
      <c r="G964" s="10">
        <v>963</v>
      </c>
    </row>
    <row r="965" spans="6:7" x14ac:dyDescent="0.3">
      <c r="F965" s="5">
        <v>128.30068004879166</v>
      </c>
      <c r="G965" s="3">
        <v>964</v>
      </c>
    </row>
    <row r="966" spans="6:7" x14ac:dyDescent="0.3">
      <c r="F966" s="5">
        <v>130.71907145944601</v>
      </c>
      <c r="G966" s="10">
        <v>965</v>
      </c>
    </row>
    <row r="967" spans="6:7" x14ac:dyDescent="0.3">
      <c r="F967" s="5">
        <v>131.18815813697739</v>
      </c>
      <c r="G967" s="3">
        <v>966</v>
      </c>
    </row>
    <row r="968" spans="6:7" x14ac:dyDescent="0.3">
      <c r="F968" s="5">
        <v>125.47551922605447</v>
      </c>
      <c r="G968" s="10">
        <v>967</v>
      </c>
    </row>
    <row r="969" spans="6:7" x14ac:dyDescent="0.3">
      <c r="F969" s="5">
        <v>130.7902116261055</v>
      </c>
      <c r="G969" s="3">
        <v>968</v>
      </c>
    </row>
    <row r="970" spans="6:7" x14ac:dyDescent="0.3">
      <c r="F970" s="5">
        <v>77.599595013538391</v>
      </c>
      <c r="G970" s="10">
        <v>969</v>
      </c>
    </row>
    <row r="971" spans="6:7" x14ac:dyDescent="0.3">
      <c r="F971" s="5">
        <v>179.92821329754935</v>
      </c>
      <c r="G971" s="3">
        <v>970</v>
      </c>
    </row>
    <row r="972" spans="6:7" x14ac:dyDescent="0.3">
      <c r="F972" s="5">
        <v>111.24280855348171</v>
      </c>
      <c r="G972" s="10">
        <v>971</v>
      </c>
    </row>
    <row r="973" spans="6:7" x14ac:dyDescent="0.3">
      <c r="F973" s="5">
        <v>100.23850765770705</v>
      </c>
      <c r="G973" s="3">
        <v>972</v>
      </c>
    </row>
    <row r="974" spans="6:7" x14ac:dyDescent="0.3">
      <c r="F974" s="5">
        <v>75.592750266385295</v>
      </c>
      <c r="G974" s="10">
        <v>973</v>
      </c>
    </row>
    <row r="975" spans="6:7" x14ac:dyDescent="0.3">
      <c r="F975" s="5">
        <v>153.13892353932752</v>
      </c>
      <c r="G975" s="3">
        <v>974</v>
      </c>
    </row>
    <row r="976" spans="6:7" x14ac:dyDescent="0.3">
      <c r="F976" s="5">
        <v>64.755801019252047</v>
      </c>
      <c r="G976" s="10">
        <v>975</v>
      </c>
    </row>
    <row r="977" spans="6:7" x14ac:dyDescent="0.3">
      <c r="F977" s="5">
        <v>92.009308445761391</v>
      </c>
      <c r="G977" s="3">
        <v>976</v>
      </c>
    </row>
    <row r="978" spans="6:7" x14ac:dyDescent="0.3">
      <c r="F978" s="5">
        <v>112.81561827640049</v>
      </c>
      <c r="G978" s="10">
        <v>977</v>
      </c>
    </row>
    <row r="979" spans="6:7" x14ac:dyDescent="0.3">
      <c r="F979" s="5">
        <v>71.112783857840682</v>
      </c>
      <c r="G979" s="3">
        <v>978</v>
      </c>
    </row>
    <row r="980" spans="6:7" x14ac:dyDescent="0.3">
      <c r="F980" s="5">
        <v>73.467616392561339</v>
      </c>
      <c r="G980" s="10">
        <v>979</v>
      </c>
    </row>
    <row r="981" spans="6:7" x14ac:dyDescent="0.3">
      <c r="F981" s="5">
        <v>69.358239222378032</v>
      </c>
      <c r="G981" s="3">
        <v>980</v>
      </c>
    </row>
    <row r="982" spans="6:7" x14ac:dyDescent="0.3">
      <c r="F982" s="5">
        <v>93.390282710693199</v>
      </c>
      <c r="G982" s="10">
        <v>981</v>
      </c>
    </row>
    <row r="983" spans="6:7" x14ac:dyDescent="0.3">
      <c r="F983" s="5">
        <v>80.282319415873914</v>
      </c>
      <c r="G983" s="3">
        <v>982</v>
      </c>
    </row>
    <row r="984" spans="6:7" x14ac:dyDescent="0.3">
      <c r="F984" s="5">
        <v>107.45214413927145</v>
      </c>
      <c r="G984" s="10">
        <v>983</v>
      </c>
    </row>
    <row r="985" spans="6:7" x14ac:dyDescent="0.3">
      <c r="F985" s="5">
        <v>267.75440430542506</v>
      </c>
      <c r="G985" s="3">
        <v>984</v>
      </c>
    </row>
    <row r="986" spans="6:7" x14ac:dyDescent="0.3">
      <c r="F986" s="5">
        <v>104.80660047799184</v>
      </c>
      <c r="G986" s="10">
        <v>985</v>
      </c>
    </row>
    <row r="987" spans="6:7" x14ac:dyDescent="0.3">
      <c r="F987" s="5">
        <v>112.30597532096624</v>
      </c>
      <c r="G987" s="3">
        <v>986</v>
      </c>
    </row>
    <row r="988" spans="6:7" x14ac:dyDescent="0.3">
      <c r="F988" s="5">
        <v>78.440001468618902</v>
      </c>
      <c r="G988" s="10">
        <v>987</v>
      </c>
    </row>
    <row r="989" spans="6:7" x14ac:dyDescent="0.3">
      <c r="F989" s="5">
        <v>71.088679280328066</v>
      </c>
      <c r="G989" s="3">
        <v>988</v>
      </c>
    </row>
    <row r="990" spans="6:7" x14ac:dyDescent="0.3">
      <c r="F990" s="5">
        <v>110.54638133254302</v>
      </c>
      <c r="G990" s="10">
        <v>989</v>
      </c>
    </row>
    <row r="991" spans="6:7" x14ac:dyDescent="0.3">
      <c r="F991" s="5">
        <v>121.09274229172419</v>
      </c>
      <c r="G991" s="3">
        <v>990</v>
      </c>
    </row>
    <row r="992" spans="6:7" x14ac:dyDescent="0.3">
      <c r="F992" s="5">
        <v>76.618444983900815</v>
      </c>
      <c r="G992" s="10">
        <v>991</v>
      </c>
    </row>
    <row r="993" spans="6:7" x14ac:dyDescent="0.3">
      <c r="F993" s="5">
        <v>125.86833336464422</v>
      </c>
      <c r="G993" s="3">
        <v>992</v>
      </c>
    </row>
    <row r="994" spans="6:7" x14ac:dyDescent="0.3">
      <c r="F994" s="5">
        <v>78.138057915771</v>
      </c>
      <c r="G994" s="10">
        <v>993</v>
      </c>
    </row>
    <row r="995" spans="6:7" x14ac:dyDescent="0.3">
      <c r="F995" s="5">
        <v>166.04704720389662</v>
      </c>
      <c r="G995" s="3">
        <v>994</v>
      </c>
    </row>
    <row r="996" spans="6:7" x14ac:dyDescent="0.3">
      <c r="F996" s="5">
        <v>138.58308751415478</v>
      </c>
      <c r="G996" s="10">
        <v>995</v>
      </c>
    </row>
    <row r="997" spans="6:7" x14ac:dyDescent="0.3">
      <c r="F997" s="5">
        <v>71.044271633424358</v>
      </c>
      <c r="G997" s="3">
        <v>996</v>
      </c>
    </row>
    <row r="998" spans="6:7" x14ac:dyDescent="0.3">
      <c r="F998" s="5">
        <v>99.532708228702646</v>
      </c>
      <c r="G998" s="10">
        <v>997</v>
      </c>
    </row>
    <row r="999" spans="6:7" x14ac:dyDescent="0.3">
      <c r="F999" s="5">
        <v>152.10042665359916</v>
      </c>
      <c r="G999" s="3">
        <v>998</v>
      </c>
    </row>
    <row r="1000" spans="6:7" x14ac:dyDescent="0.3">
      <c r="F1000" s="5">
        <v>94.29102395918575</v>
      </c>
      <c r="G1000" s="10">
        <v>999</v>
      </c>
    </row>
    <row r="1001" spans="6:7" x14ac:dyDescent="0.3">
      <c r="F1001" s="11">
        <v>76.963250204587624</v>
      </c>
      <c r="G1001" s="9">
        <v>1000</v>
      </c>
    </row>
  </sheetData>
  <pageMargins left="0.7" right="0.7" top="0.75" bottom="0.75" header="0.3" footer="0.3"/>
  <pageSetup orientation="landscape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0679-A2D9-44E7-89AF-EFF23A11A7B8}">
  <sheetPr codeName="Sheet1">
    <tabColor rgb="FFC00000"/>
  </sheetPr>
  <dimension ref="A1:J1001"/>
  <sheetViews>
    <sheetView workbookViewId="0">
      <selection activeCell="E21" sqref="E21"/>
    </sheetView>
  </sheetViews>
  <sheetFormatPr defaultRowHeight="14.4" x14ac:dyDescent="0.3"/>
  <cols>
    <col min="2" max="2" width="20.21875" bestFit="1" customWidth="1"/>
    <col min="3" max="3" width="11.6640625" customWidth="1"/>
    <col min="4" max="4" width="6.88671875" bestFit="1" customWidth="1"/>
    <col min="5" max="5" width="13.5546875" bestFit="1" customWidth="1"/>
    <col min="6" max="6" width="26.88671875" style="2" bestFit="1" customWidth="1"/>
    <col min="7" max="7" width="13.21875" bestFit="1" customWidth="1"/>
  </cols>
  <sheetData>
    <row r="1" spans="1:10" ht="15.6" x14ac:dyDescent="0.3">
      <c r="A1" s="18" t="s">
        <v>0</v>
      </c>
      <c r="B1" s="20" t="s">
        <v>1</v>
      </c>
      <c r="C1" s="20" t="s">
        <v>2</v>
      </c>
      <c r="D1" s="20" t="s">
        <v>3</v>
      </c>
      <c r="E1" s="21" t="s">
        <v>4</v>
      </c>
      <c r="F1" s="18" t="s">
        <v>5</v>
      </c>
      <c r="G1" s="22" t="s">
        <v>6</v>
      </c>
    </row>
    <row r="2" spans="1:10" x14ac:dyDescent="0.3">
      <c r="A2" s="7">
        <v>100</v>
      </c>
      <c r="B2" s="8">
        <v>0.08</v>
      </c>
      <c r="C2" s="8">
        <v>0.3</v>
      </c>
      <c r="D2" s="8">
        <v>0.03</v>
      </c>
      <c r="E2" s="9">
        <v>80</v>
      </c>
      <c r="F2" s="5">
        <v>87.534514806612236</v>
      </c>
      <c r="G2" s="10">
        <v>1</v>
      </c>
    </row>
    <row r="3" spans="1:10" x14ac:dyDescent="0.3">
      <c r="E3" s="1"/>
      <c r="F3" s="4">
        <v>83.13790262482577</v>
      </c>
      <c r="G3" s="3">
        <v>2</v>
      </c>
    </row>
    <row r="4" spans="1:10" x14ac:dyDescent="0.3">
      <c r="A4" t="s">
        <v>24</v>
      </c>
      <c r="B4" t="s">
        <v>12</v>
      </c>
      <c r="C4" t="s">
        <v>25</v>
      </c>
      <c r="F4" s="4">
        <v>100.39132736636445</v>
      </c>
      <c r="G4" s="10">
        <v>3</v>
      </c>
    </row>
    <row r="5" spans="1:10" x14ac:dyDescent="0.3">
      <c r="A5" s="35">
        <v>1</v>
      </c>
      <c r="B5" s="35">
        <f>COUNTIF(F2:F1001,"&gt;80")</f>
        <v>882</v>
      </c>
      <c r="C5" s="36">
        <f>Table12[[#This Row],[Effectifs ]]/1000</f>
        <v>0.88200000000000001</v>
      </c>
      <c r="F5" s="4">
        <v>79.999554359785137</v>
      </c>
      <c r="G5" s="3">
        <v>4</v>
      </c>
    </row>
    <row r="6" spans="1:10" x14ac:dyDescent="0.3">
      <c r="A6" s="35">
        <v>2</v>
      </c>
      <c r="B6" s="35">
        <f>1000-B5</f>
        <v>118</v>
      </c>
      <c r="C6" s="36">
        <f>Table12[[#This Row],[Effectifs ]]/1000</f>
        <v>0.11799999999999999</v>
      </c>
      <c r="F6" s="4">
        <v>106.77099633938892</v>
      </c>
      <c r="G6" s="10">
        <v>5</v>
      </c>
    </row>
    <row r="7" spans="1:10" x14ac:dyDescent="0.3">
      <c r="F7" s="4">
        <v>80.02163252016814</v>
      </c>
      <c r="G7" s="3">
        <v>6</v>
      </c>
    </row>
    <row r="8" spans="1:10" x14ac:dyDescent="0.3">
      <c r="F8" s="4">
        <v>123.60048441723323</v>
      </c>
      <c r="G8" s="10">
        <v>7</v>
      </c>
    </row>
    <row r="9" spans="1:10" x14ac:dyDescent="0.3">
      <c r="F9" s="4">
        <v>82.259142611777477</v>
      </c>
      <c r="G9" s="3">
        <v>8</v>
      </c>
    </row>
    <row r="10" spans="1:10" x14ac:dyDescent="0.3">
      <c r="F10" s="4">
        <v>98.842029130425885</v>
      </c>
      <c r="G10" s="10">
        <v>9</v>
      </c>
    </row>
    <row r="11" spans="1:10" x14ac:dyDescent="0.3">
      <c r="F11" s="4">
        <v>95.493114838679745</v>
      </c>
      <c r="G11" s="3">
        <v>10</v>
      </c>
    </row>
    <row r="12" spans="1:10" ht="15.6" x14ac:dyDescent="0.3">
      <c r="A12" s="26" t="s">
        <v>7</v>
      </c>
      <c r="B12" s="27" t="s">
        <v>9</v>
      </c>
      <c r="C12" s="26" t="s">
        <v>23</v>
      </c>
      <c r="F12" s="4">
        <v>102.56781181304075</v>
      </c>
      <c r="G12" s="10">
        <v>11</v>
      </c>
    </row>
    <row r="13" spans="1:10" x14ac:dyDescent="0.3">
      <c r="A13" s="28">
        <v>1</v>
      </c>
      <c r="B13" s="25" t="s">
        <v>14</v>
      </c>
      <c r="C13" s="24">
        <f>AVERAGE(Table7[[Valeur du Portefeuille ]])</f>
        <v>105.42059199184754</v>
      </c>
      <c r="F13" s="4">
        <v>94.595943849656038</v>
      </c>
      <c r="G13" s="3">
        <v>12</v>
      </c>
      <c r="J13" s="13"/>
    </row>
    <row r="14" spans="1:10" x14ac:dyDescent="0.3">
      <c r="A14" s="28">
        <v>2</v>
      </c>
      <c r="B14" s="6" t="s">
        <v>15</v>
      </c>
      <c r="C14" s="24">
        <f>MIN(Table7[[Valeur du Portefeuille ]])</f>
        <v>78.308729277078925</v>
      </c>
      <c r="F14" s="4">
        <v>132.24588699067465</v>
      </c>
      <c r="G14" s="10">
        <v>13</v>
      </c>
    </row>
    <row r="15" spans="1:10" x14ac:dyDescent="0.3">
      <c r="A15" s="28">
        <v>3</v>
      </c>
      <c r="B15" s="25" t="s">
        <v>16</v>
      </c>
      <c r="C15" s="24">
        <f>MAX(Table7[[Valeur du Portefeuille ]])</f>
        <v>244.37559883919806</v>
      </c>
      <c r="F15" s="4">
        <v>79.724136548455022</v>
      </c>
      <c r="G15" s="3">
        <v>14</v>
      </c>
    </row>
    <row r="16" spans="1:10" x14ac:dyDescent="0.3">
      <c r="A16" s="28">
        <v>4</v>
      </c>
      <c r="B16" s="6" t="s">
        <v>17</v>
      </c>
      <c r="C16" s="24">
        <f>_xlfn.STDEV.S(Table7[[Valeur du Portefeuille ]])</f>
        <v>27.147818029475303</v>
      </c>
      <c r="F16" s="4">
        <v>82.12791496115652</v>
      </c>
      <c r="G16" s="10">
        <v>15</v>
      </c>
    </row>
    <row r="17" spans="1:7" x14ac:dyDescent="0.3">
      <c r="A17" s="28">
        <v>5</v>
      </c>
      <c r="B17" s="25" t="s">
        <v>10</v>
      </c>
      <c r="C17" s="24">
        <f>COUNTIF(Table7[[Valeur du Portefeuille ]],"&gt;80")</f>
        <v>882</v>
      </c>
      <c r="F17" s="4">
        <v>156.39076223327604</v>
      </c>
      <c r="G17" s="3">
        <v>16</v>
      </c>
    </row>
    <row r="18" spans="1:7" x14ac:dyDescent="0.3">
      <c r="A18" s="28">
        <v>6</v>
      </c>
      <c r="B18" s="6" t="s">
        <v>11</v>
      </c>
      <c r="C18" s="24" t="str">
        <f>IF(F1001&gt;80," Oui","Non")</f>
        <v xml:space="preserve"> Oui</v>
      </c>
      <c r="F18" s="4">
        <v>111.8219698953471</v>
      </c>
      <c r="G18" s="10">
        <v>17</v>
      </c>
    </row>
    <row r="19" spans="1:7" x14ac:dyDescent="0.3">
      <c r="A19" s="28">
        <v>7</v>
      </c>
      <c r="B19" s="25" t="s">
        <v>18</v>
      </c>
      <c r="C19" s="24">
        <f>MEDIAN(Table7[[Valeur du Portefeuille ]])</f>
        <v>97.914919014374135</v>
      </c>
      <c r="F19" s="4">
        <v>100.02787277664922</v>
      </c>
      <c r="G19" s="3">
        <v>18</v>
      </c>
    </row>
    <row r="20" spans="1:7" x14ac:dyDescent="0.3">
      <c r="A20" s="28">
        <v>8</v>
      </c>
      <c r="B20" s="6" t="s">
        <v>19</v>
      </c>
      <c r="C20" s="28">
        <f>COUNT(Table7[[Valeur du Portefeuille ]])</f>
        <v>1000</v>
      </c>
      <c r="F20" s="4">
        <v>81.538541033955468</v>
      </c>
      <c r="G20" s="10">
        <v>19</v>
      </c>
    </row>
    <row r="21" spans="1:7" x14ac:dyDescent="0.3">
      <c r="A21" s="28">
        <v>9</v>
      </c>
      <c r="B21" s="25" t="s">
        <v>20</v>
      </c>
      <c r="C21" s="24" cm="1">
        <f t="array" ref="C21">(C13-Table6[rf])/C16</f>
        <v>3.8821017540865133</v>
      </c>
      <c r="F21" s="4">
        <v>112.20699187139729</v>
      </c>
      <c r="G21" s="3">
        <v>20</v>
      </c>
    </row>
    <row r="22" spans="1:7" x14ac:dyDescent="0.3">
      <c r="A22" s="28">
        <v>10</v>
      </c>
      <c r="B22" s="6" t="s">
        <v>21</v>
      </c>
      <c r="C22" s="24">
        <f>C13-_xlfn.NORM.S.INV(0.95)*C16</f>
        <v>60.766405042246539</v>
      </c>
      <c r="F22" s="4">
        <v>87.275497057440887</v>
      </c>
      <c r="G22" s="10">
        <v>21</v>
      </c>
    </row>
    <row r="23" spans="1:7" x14ac:dyDescent="0.3">
      <c r="A23" s="28">
        <v>11</v>
      </c>
      <c r="B23" s="25" t="s">
        <v>22</v>
      </c>
      <c r="C23" s="24">
        <f>C13 - C16 * _xlfn.NORM.S.DIST(_xlfn.NORM.S.INV(0.05), TRUE) / 0.05</f>
        <v>78.272773962372241</v>
      </c>
      <c r="F23" s="4">
        <v>79.089781008837832</v>
      </c>
      <c r="G23" s="3">
        <v>22</v>
      </c>
    </row>
    <row r="24" spans="1:7" x14ac:dyDescent="0.3">
      <c r="F24" s="4">
        <v>119.91776881882892</v>
      </c>
      <c r="G24" s="10">
        <v>23</v>
      </c>
    </row>
    <row r="25" spans="1:7" x14ac:dyDescent="0.3">
      <c r="F25" s="4">
        <v>79.773129130099562</v>
      </c>
      <c r="G25" s="3">
        <v>24</v>
      </c>
    </row>
    <row r="26" spans="1:7" x14ac:dyDescent="0.3">
      <c r="F26" s="4">
        <v>124.83769932642787</v>
      </c>
      <c r="G26" s="10">
        <v>25</v>
      </c>
    </row>
    <row r="27" spans="1:7" x14ac:dyDescent="0.3">
      <c r="F27" s="4">
        <v>83.317529674070059</v>
      </c>
      <c r="G27" s="3">
        <v>26</v>
      </c>
    </row>
    <row r="28" spans="1:7" x14ac:dyDescent="0.3">
      <c r="F28" s="4">
        <v>107.3225057607746</v>
      </c>
      <c r="G28" s="10">
        <v>27</v>
      </c>
    </row>
    <row r="29" spans="1:7" x14ac:dyDescent="0.3">
      <c r="F29" s="4">
        <v>144.2624538732845</v>
      </c>
      <c r="G29" s="3">
        <v>28</v>
      </c>
    </row>
    <row r="30" spans="1:7" x14ac:dyDescent="0.3">
      <c r="F30" s="4">
        <v>80.131363106687601</v>
      </c>
      <c r="G30" s="10">
        <v>29</v>
      </c>
    </row>
    <row r="31" spans="1:7" x14ac:dyDescent="0.3">
      <c r="F31" s="4">
        <v>90.41398382115635</v>
      </c>
      <c r="G31" s="3">
        <v>30</v>
      </c>
    </row>
    <row r="32" spans="1:7" x14ac:dyDescent="0.3">
      <c r="F32" s="4">
        <v>108.42132227000427</v>
      </c>
      <c r="G32" s="10">
        <v>31</v>
      </c>
    </row>
    <row r="33" spans="6:7" x14ac:dyDescent="0.3">
      <c r="F33" s="4">
        <v>87.072211728950236</v>
      </c>
      <c r="G33" s="3">
        <v>32</v>
      </c>
    </row>
    <row r="34" spans="6:7" x14ac:dyDescent="0.3">
      <c r="F34" s="4">
        <v>84.267892525634252</v>
      </c>
      <c r="G34" s="10">
        <v>33</v>
      </c>
    </row>
    <row r="35" spans="6:7" x14ac:dyDescent="0.3">
      <c r="F35" s="4">
        <v>79.757932250828091</v>
      </c>
      <c r="G35" s="3">
        <v>34</v>
      </c>
    </row>
    <row r="36" spans="6:7" x14ac:dyDescent="0.3">
      <c r="F36" s="4">
        <v>131.78125554346184</v>
      </c>
      <c r="G36" s="10">
        <v>35</v>
      </c>
    </row>
    <row r="37" spans="6:7" x14ac:dyDescent="0.3">
      <c r="F37" s="4">
        <v>80.586264395267889</v>
      </c>
      <c r="G37" s="3">
        <v>36</v>
      </c>
    </row>
    <row r="38" spans="6:7" x14ac:dyDescent="0.3">
      <c r="F38" s="4">
        <v>81.736753475628632</v>
      </c>
      <c r="G38" s="10">
        <v>37</v>
      </c>
    </row>
    <row r="39" spans="6:7" x14ac:dyDescent="0.3">
      <c r="F39" s="4">
        <v>107.68114125889316</v>
      </c>
      <c r="G39" s="3">
        <v>38</v>
      </c>
    </row>
    <row r="40" spans="6:7" x14ac:dyDescent="0.3">
      <c r="F40" s="4">
        <v>103.08403860621857</v>
      </c>
      <c r="G40" s="10">
        <v>39</v>
      </c>
    </row>
    <row r="41" spans="6:7" x14ac:dyDescent="0.3">
      <c r="F41" s="4">
        <v>86.699711412582985</v>
      </c>
      <c r="G41" s="3">
        <v>40</v>
      </c>
    </row>
    <row r="42" spans="6:7" x14ac:dyDescent="0.3">
      <c r="F42" s="4">
        <v>115.80438080483928</v>
      </c>
      <c r="G42" s="10">
        <v>41</v>
      </c>
    </row>
    <row r="43" spans="6:7" x14ac:dyDescent="0.3">
      <c r="F43" s="4">
        <v>94.283247822004142</v>
      </c>
      <c r="G43" s="3">
        <v>42</v>
      </c>
    </row>
    <row r="44" spans="6:7" x14ac:dyDescent="0.3">
      <c r="F44" s="4">
        <v>120.50882021612762</v>
      </c>
      <c r="G44" s="10">
        <v>43</v>
      </c>
    </row>
    <row r="45" spans="6:7" x14ac:dyDescent="0.3">
      <c r="F45" s="4">
        <v>88.876438583587301</v>
      </c>
      <c r="G45" s="3">
        <v>44</v>
      </c>
    </row>
    <row r="46" spans="6:7" x14ac:dyDescent="0.3">
      <c r="F46" s="4">
        <v>87.720557093912475</v>
      </c>
      <c r="G46" s="10">
        <v>45</v>
      </c>
    </row>
    <row r="47" spans="6:7" x14ac:dyDescent="0.3">
      <c r="F47" s="4">
        <v>107.68326638157329</v>
      </c>
      <c r="G47" s="3">
        <v>46</v>
      </c>
    </row>
    <row r="48" spans="6:7" x14ac:dyDescent="0.3">
      <c r="F48" s="4">
        <v>134.98603924224028</v>
      </c>
      <c r="G48" s="10">
        <v>47</v>
      </c>
    </row>
    <row r="49" spans="6:7" x14ac:dyDescent="0.3">
      <c r="F49" s="4">
        <v>103.17793661202921</v>
      </c>
      <c r="G49" s="3">
        <v>48</v>
      </c>
    </row>
    <row r="50" spans="6:7" x14ac:dyDescent="0.3">
      <c r="F50" s="4">
        <v>102.62331083331703</v>
      </c>
      <c r="G50" s="10">
        <v>49</v>
      </c>
    </row>
    <row r="51" spans="6:7" x14ac:dyDescent="0.3">
      <c r="F51" s="4">
        <v>105.23784664642267</v>
      </c>
      <c r="G51" s="3">
        <v>50</v>
      </c>
    </row>
    <row r="52" spans="6:7" x14ac:dyDescent="0.3">
      <c r="F52" s="4">
        <v>139.98464862038929</v>
      </c>
      <c r="G52" s="10">
        <v>51</v>
      </c>
    </row>
    <row r="53" spans="6:7" x14ac:dyDescent="0.3">
      <c r="F53" s="4">
        <v>79.671176342731414</v>
      </c>
      <c r="G53" s="3">
        <v>52</v>
      </c>
    </row>
    <row r="54" spans="6:7" x14ac:dyDescent="0.3">
      <c r="F54" s="4">
        <v>90.950291119210419</v>
      </c>
      <c r="G54" s="10">
        <v>53</v>
      </c>
    </row>
    <row r="55" spans="6:7" x14ac:dyDescent="0.3">
      <c r="F55" s="4">
        <v>104.51926546867112</v>
      </c>
      <c r="G55" s="3">
        <v>54</v>
      </c>
    </row>
    <row r="56" spans="6:7" x14ac:dyDescent="0.3">
      <c r="F56" s="4">
        <v>118.85061961833539</v>
      </c>
      <c r="G56" s="10">
        <v>55</v>
      </c>
    </row>
    <row r="57" spans="6:7" x14ac:dyDescent="0.3">
      <c r="F57" s="4">
        <v>111.79367783339683</v>
      </c>
      <c r="G57" s="3">
        <v>56</v>
      </c>
    </row>
    <row r="58" spans="6:7" x14ac:dyDescent="0.3">
      <c r="F58" s="4">
        <v>90.940879699836515</v>
      </c>
      <c r="G58" s="10">
        <v>57</v>
      </c>
    </row>
    <row r="59" spans="6:7" x14ac:dyDescent="0.3">
      <c r="F59" s="4">
        <v>135.48113044716123</v>
      </c>
      <c r="G59" s="3">
        <v>58</v>
      </c>
    </row>
    <row r="60" spans="6:7" x14ac:dyDescent="0.3">
      <c r="F60" s="4">
        <v>80.809079428776741</v>
      </c>
      <c r="G60" s="10">
        <v>59</v>
      </c>
    </row>
    <row r="61" spans="6:7" x14ac:dyDescent="0.3">
      <c r="F61" s="4">
        <v>160.8463478662554</v>
      </c>
      <c r="G61" s="3">
        <v>60</v>
      </c>
    </row>
    <row r="62" spans="6:7" x14ac:dyDescent="0.3">
      <c r="F62" s="4">
        <v>87.784430288317608</v>
      </c>
      <c r="G62" s="10">
        <v>61</v>
      </c>
    </row>
    <row r="63" spans="6:7" x14ac:dyDescent="0.3">
      <c r="F63" s="4">
        <v>79.70706479010164</v>
      </c>
      <c r="G63" s="3">
        <v>62</v>
      </c>
    </row>
    <row r="64" spans="6:7" x14ac:dyDescent="0.3">
      <c r="F64" s="4">
        <v>84.916531304623277</v>
      </c>
      <c r="G64" s="10">
        <v>63</v>
      </c>
    </row>
    <row r="65" spans="6:7" x14ac:dyDescent="0.3">
      <c r="F65" s="4">
        <v>161.21139037899349</v>
      </c>
      <c r="G65" s="3">
        <v>64</v>
      </c>
    </row>
    <row r="66" spans="6:7" x14ac:dyDescent="0.3">
      <c r="F66" s="4">
        <v>95.964074870975395</v>
      </c>
      <c r="G66" s="10">
        <v>65</v>
      </c>
    </row>
    <row r="67" spans="6:7" x14ac:dyDescent="0.3">
      <c r="F67" s="4">
        <v>170.06983110179868</v>
      </c>
      <c r="G67" s="3">
        <v>66</v>
      </c>
    </row>
    <row r="68" spans="6:7" x14ac:dyDescent="0.3">
      <c r="F68" s="4">
        <v>79.303349371203836</v>
      </c>
      <c r="G68" s="10">
        <v>67</v>
      </c>
    </row>
    <row r="69" spans="6:7" x14ac:dyDescent="0.3">
      <c r="F69" s="4">
        <v>104.36632301786132</v>
      </c>
      <c r="G69" s="3">
        <v>68</v>
      </c>
    </row>
    <row r="70" spans="6:7" x14ac:dyDescent="0.3">
      <c r="F70" s="4">
        <v>92.361498857743086</v>
      </c>
      <c r="G70" s="10">
        <v>69</v>
      </c>
    </row>
    <row r="71" spans="6:7" x14ac:dyDescent="0.3">
      <c r="F71" s="4">
        <v>151.54974665001669</v>
      </c>
      <c r="G71" s="3">
        <v>70</v>
      </c>
    </row>
    <row r="72" spans="6:7" x14ac:dyDescent="0.3">
      <c r="F72" s="4">
        <v>80.101830563843677</v>
      </c>
      <c r="G72" s="10">
        <v>71</v>
      </c>
    </row>
    <row r="73" spans="6:7" x14ac:dyDescent="0.3">
      <c r="F73" s="4">
        <v>135.33443550957486</v>
      </c>
      <c r="G73" s="3">
        <v>72</v>
      </c>
    </row>
    <row r="74" spans="6:7" x14ac:dyDescent="0.3">
      <c r="F74" s="4">
        <v>104.44875779873746</v>
      </c>
      <c r="G74" s="10">
        <v>73</v>
      </c>
    </row>
    <row r="75" spans="6:7" x14ac:dyDescent="0.3">
      <c r="F75" s="4">
        <v>80.359226969278026</v>
      </c>
      <c r="G75" s="3">
        <v>74</v>
      </c>
    </row>
    <row r="76" spans="6:7" x14ac:dyDescent="0.3">
      <c r="F76" s="4">
        <v>80.730310129172295</v>
      </c>
      <c r="G76" s="10">
        <v>75</v>
      </c>
    </row>
    <row r="77" spans="6:7" x14ac:dyDescent="0.3">
      <c r="F77" s="4">
        <v>147.63533533895529</v>
      </c>
      <c r="G77" s="3">
        <v>76</v>
      </c>
    </row>
    <row r="78" spans="6:7" x14ac:dyDescent="0.3">
      <c r="F78" s="4">
        <v>123.67270060678305</v>
      </c>
      <c r="G78" s="10">
        <v>77</v>
      </c>
    </row>
    <row r="79" spans="6:7" x14ac:dyDescent="0.3">
      <c r="F79" s="4">
        <v>82.358350210655942</v>
      </c>
      <c r="G79" s="3">
        <v>78</v>
      </c>
    </row>
    <row r="80" spans="6:7" x14ac:dyDescent="0.3">
      <c r="F80" s="4">
        <v>122.5189083633787</v>
      </c>
      <c r="G80" s="10">
        <v>79</v>
      </c>
    </row>
    <row r="81" spans="6:7" x14ac:dyDescent="0.3">
      <c r="F81" s="4">
        <v>157.98730268119661</v>
      </c>
      <c r="G81" s="3">
        <v>80</v>
      </c>
    </row>
    <row r="82" spans="6:7" x14ac:dyDescent="0.3">
      <c r="F82" s="4">
        <v>158.01905029411094</v>
      </c>
      <c r="G82" s="10">
        <v>81</v>
      </c>
    </row>
    <row r="83" spans="6:7" x14ac:dyDescent="0.3">
      <c r="F83" s="4">
        <v>93.990878770437789</v>
      </c>
      <c r="G83" s="3">
        <v>82</v>
      </c>
    </row>
    <row r="84" spans="6:7" x14ac:dyDescent="0.3">
      <c r="F84" s="4">
        <v>81.214191237551788</v>
      </c>
      <c r="G84" s="10">
        <v>83</v>
      </c>
    </row>
    <row r="85" spans="6:7" x14ac:dyDescent="0.3">
      <c r="F85" s="4">
        <v>87.63993495490088</v>
      </c>
      <c r="G85" s="3">
        <v>84</v>
      </c>
    </row>
    <row r="86" spans="6:7" x14ac:dyDescent="0.3">
      <c r="F86" s="4">
        <v>79.528888841392202</v>
      </c>
      <c r="G86" s="10">
        <v>85</v>
      </c>
    </row>
    <row r="87" spans="6:7" x14ac:dyDescent="0.3">
      <c r="F87" s="4">
        <v>80.581849686768564</v>
      </c>
      <c r="G87" s="3">
        <v>86</v>
      </c>
    </row>
    <row r="88" spans="6:7" x14ac:dyDescent="0.3">
      <c r="F88" s="4">
        <v>81.803306307753104</v>
      </c>
      <c r="G88" s="10">
        <v>87</v>
      </c>
    </row>
    <row r="89" spans="6:7" x14ac:dyDescent="0.3">
      <c r="F89" s="4">
        <v>105.79219321553087</v>
      </c>
      <c r="G89" s="3">
        <v>88</v>
      </c>
    </row>
    <row r="90" spans="6:7" x14ac:dyDescent="0.3">
      <c r="F90" s="4">
        <v>83.824478852965015</v>
      </c>
      <c r="G90" s="10">
        <v>89</v>
      </c>
    </row>
    <row r="91" spans="6:7" x14ac:dyDescent="0.3">
      <c r="F91" s="4">
        <v>83.587943532218688</v>
      </c>
      <c r="G91" s="3">
        <v>90</v>
      </c>
    </row>
    <row r="92" spans="6:7" x14ac:dyDescent="0.3">
      <c r="F92" s="4">
        <v>80.295777403148421</v>
      </c>
      <c r="G92" s="10">
        <v>91</v>
      </c>
    </row>
    <row r="93" spans="6:7" x14ac:dyDescent="0.3">
      <c r="F93" s="4">
        <v>123.46670438071607</v>
      </c>
      <c r="G93" s="3">
        <v>92</v>
      </c>
    </row>
    <row r="94" spans="6:7" x14ac:dyDescent="0.3">
      <c r="F94" s="4">
        <v>101.9092633927131</v>
      </c>
      <c r="G94" s="10">
        <v>93</v>
      </c>
    </row>
    <row r="95" spans="6:7" x14ac:dyDescent="0.3">
      <c r="F95" s="4">
        <v>92.456504703046065</v>
      </c>
      <c r="G95" s="3">
        <v>94</v>
      </c>
    </row>
    <row r="96" spans="6:7" x14ac:dyDescent="0.3">
      <c r="F96" s="4">
        <v>117.07826148266419</v>
      </c>
      <c r="G96" s="10">
        <v>95</v>
      </c>
    </row>
    <row r="97" spans="6:7" x14ac:dyDescent="0.3">
      <c r="F97" s="4">
        <v>80.55799199929001</v>
      </c>
      <c r="G97" s="3">
        <v>96</v>
      </c>
    </row>
    <row r="98" spans="6:7" x14ac:dyDescent="0.3">
      <c r="F98" s="4">
        <v>139.5334875649645</v>
      </c>
      <c r="G98" s="10">
        <v>97</v>
      </c>
    </row>
    <row r="99" spans="6:7" x14ac:dyDescent="0.3">
      <c r="F99" s="4">
        <v>80.72472762150764</v>
      </c>
      <c r="G99" s="3">
        <v>98</v>
      </c>
    </row>
    <row r="100" spans="6:7" x14ac:dyDescent="0.3">
      <c r="F100" s="4">
        <v>118.63948953666269</v>
      </c>
      <c r="G100" s="10">
        <v>99</v>
      </c>
    </row>
    <row r="101" spans="6:7" x14ac:dyDescent="0.3">
      <c r="F101" s="4">
        <v>79.414204278983718</v>
      </c>
      <c r="G101" s="3">
        <v>100</v>
      </c>
    </row>
    <row r="102" spans="6:7" x14ac:dyDescent="0.3">
      <c r="F102" s="4">
        <v>128.89645865779082</v>
      </c>
      <c r="G102" s="10">
        <v>101</v>
      </c>
    </row>
    <row r="103" spans="6:7" x14ac:dyDescent="0.3">
      <c r="F103" s="4">
        <v>114.55721339099296</v>
      </c>
      <c r="G103" s="3">
        <v>102</v>
      </c>
    </row>
    <row r="104" spans="6:7" x14ac:dyDescent="0.3">
      <c r="F104" s="4">
        <v>153.16906352391041</v>
      </c>
      <c r="G104" s="10">
        <v>103</v>
      </c>
    </row>
    <row r="105" spans="6:7" x14ac:dyDescent="0.3">
      <c r="F105" s="4">
        <v>106.03321790551465</v>
      </c>
      <c r="G105" s="3">
        <v>104</v>
      </c>
    </row>
    <row r="106" spans="6:7" x14ac:dyDescent="0.3">
      <c r="F106" s="4">
        <v>83.988837798868204</v>
      </c>
      <c r="G106" s="10">
        <v>105</v>
      </c>
    </row>
    <row r="107" spans="6:7" x14ac:dyDescent="0.3">
      <c r="F107" s="4">
        <v>186.40767794522728</v>
      </c>
      <c r="G107" s="3">
        <v>106</v>
      </c>
    </row>
    <row r="108" spans="6:7" x14ac:dyDescent="0.3">
      <c r="F108" s="4">
        <v>136.85916076196938</v>
      </c>
      <c r="G108" s="10">
        <v>107</v>
      </c>
    </row>
    <row r="109" spans="6:7" x14ac:dyDescent="0.3">
      <c r="F109" s="4">
        <v>122.44105785855425</v>
      </c>
      <c r="G109" s="3">
        <v>108</v>
      </c>
    </row>
    <row r="110" spans="6:7" x14ac:dyDescent="0.3">
      <c r="F110" s="4">
        <v>142.37682926510536</v>
      </c>
      <c r="G110" s="10">
        <v>109</v>
      </c>
    </row>
    <row r="111" spans="6:7" x14ac:dyDescent="0.3">
      <c r="F111" s="4">
        <v>80.28360961521021</v>
      </c>
      <c r="G111" s="3">
        <v>110</v>
      </c>
    </row>
    <row r="112" spans="6:7" x14ac:dyDescent="0.3">
      <c r="F112" s="4">
        <v>80.534010022958228</v>
      </c>
      <c r="G112" s="10">
        <v>111</v>
      </c>
    </row>
    <row r="113" spans="6:7" x14ac:dyDescent="0.3">
      <c r="F113" s="4">
        <v>79.559511372080991</v>
      </c>
      <c r="G113" s="3">
        <v>112</v>
      </c>
    </row>
    <row r="114" spans="6:7" x14ac:dyDescent="0.3">
      <c r="F114" s="4">
        <v>79.923170213440542</v>
      </c>
      <c r="G114" s="10">
        <v>113</v>
      </c>
    </row>
    <row r="115" spans="6:7" x14ac:dyDescent="0.3">
      <c r="F115" s="4">
        <v>128.78386983156457</v>
      </c>
      <c r="G115" s="3">
        <v>114</v>
      </c>
    </row>
    <row r="116" spans="6:7" x14ac:dyDescent="0.3">
      <c r="F116" s="4">
        <v>83.068650966481712</v>
      </c>
      <c r="G116" s="10">
        <v>115</v>
      </c>
    </row>
    <row r="117" spans="6:7" x14ac:dyDescent="0.3">
      <c r="F117" s="4">
        <v>80.81826522043373</v>
      </c>
      <c r="G117" s="3">
        <v>116</v>
      </c>
    </row>
    <row r="118" spans="6:7" x14ac:dyDescent="0.3">
      <c r="F118" s="4">
        <v>92.039335710638184</v>
      </c>
      <c r="G118" s="10">
        <v>117</v>
      </c>
    </row>
    <row r="119" spans="6:7" x14ac:dyDescent="0.3">
      <c r="F119" s="4">
        <v>79.246821141639032</v>
      </c>
      <c r="G119" s="3">
        <v>118</v>
      </c>
    </row>
    <row r="120" spans="6:7" x14ac:dyDescent="0.3">
      <c r="F120" s="4">
        <v>130.00419329383843</v>
      </c>
      <c r="G120" s="10">
        <v>119</v>
      </c>
    </row>
    <row r="121" spans="6:7" x14ac:dyDescent="0.3">
      <c r="F121" s="4">
        <v>86.718965678543242</v>
      </c>
      <c r="G121" s="3">
        <v>120</v>
      </c>
    </row>
    <row r="122" spans="6:7" x14ac:dyDescent="0.3">
      <c r="F122" s="4">
        <v>79.823026526920984</v>
      </c>
      <c r="G122" s="10">
        <v>121</v>
      </c>
    </row>
    <row r="123" spans="6:7" x14ac:dyDescent="0.3">
      <c r="F123" s="4">
        <v>86.330925067200354</v>
      </c>
      <c r="G123" s="3">
        <v>122</v>
      </c>
    </row>
    <row r="124" spans="6:7" x14ac:dyDescent="0.3">
      <c r="F124" s="4">
        <v>80.267524608946403</v>
      </c>
      <c r="G124" s="10">
        <v>123</v>
      </c>
    </row>
    <row r="125" spans="6:7" x14ac:dyDescent="0.3">
      <c r="F125" s="4">
        <v>130.16981233683489</v>
      </c>
      <c r="G125" s="3">
        <v>124</v>
      </c>
    </row>
    <row r="126" spans="6:7" x14ac:dyDescent="0.3">
      <c r="F126" s="4">
        <v>99.102068599715338</v>
      </c>
      <c r="G126" s="10">
        <v>125</v>
      </c>
    </row>
    <row r="127" spans="6:7" x14ac:dyDescent="0.3">
      <c r="F127" s="4">
        <v>79.453089300388768</v>
      </c>
      <c r="G127" s="3">
        <v>126</v>
      </c>
    </row>
    <row r="128" spans="6:7" x14ac:dyDescent="0.3">
      <c r="F128" s="4">
        <v>114.80516039683121</v>
      </c>
      <c r="G128" s="10">
        <v>127</v>
      </c>
    </row>
    <row r="129" spans="6:7" x14ac:dyDescent="0.3">
      <c r="F129" s="4">
        <v>136.31611281409468</v>
      </c>
      <c r="G129" s="3">
        <v>128</v>
      </c>
    </row>
    <row r="130" spans="6:7" x14ac:dyDescent="0.3">
      <c r="F130" s="4">
        <v>106.0425590809258</v>
      </c>
      <c r="G130" s="10">
        <v>129</v>
      </c>
    </row>
    <row r="131" spans="6:7" x14ac:dyDescent="0.3">
      <c r="F131" s="4">
        <v>102.23168285750313</v>
      </c>
      <c r="G131" s="3">
        <v>130</v>
      </c>
    </row>
    <row r="132" spans="6:7" x14ac:dyDescent="0.3">
      <c r="F132" s="4">
        <v>106.29071237033156</v>
      </c>
      <c r="G132" s="10">
        <v>131</v>
      </c>
    </row>
    <row r="133" spans="6:7" x14ac:dyDescent="0.3">
      <c r="F133" s="4">
        <v>97.158103636382734</v>
      </c>
      <c r="G133" s="3">
        <v>132</v>
      </c>
    </row>
    <row r="134" spans="6:7" x14ac:dyDescent="0.3">
      <c r="F134" s="4">
        <v>95.367681528065773</v>
      </c>
      <c r="G134" s="10">
        <v>133</v>
      </c>
    </row>
    <row r="135" spans="6:7" x14ac:dyDescent="0.3">
      <c r="F135" s="4">
        <v>79.801923697259966</v>
      </c>
      <c r="G135" s="3">
        <v>134</v>
      </c>
    </row>
    <row r="136" spans="6:7" x14ac:dyDescent="0.3">
      <c r="F136" s="4">
        <v>116.44604631301785</v>
      </c>
      <c r="G136" s="10">
        <v>135</v>
      </c>
    </row>
    <row r="137" spans="6:7" x14ac:dyDescent="0.3">
      <c r="F137" s="4">
        <v>90.593941163241112</v>
      </c>
      <c r="G137" s="3">
        <v>136</v>
      </c>
    </row>
    <row r="138" spans="6:7" x14ac:dyDescent="0.3">
      <c r="F138" s="4">
        <v>97.173346045476151</v>
      </c>
      <c r="G138" s="10">
        <v>137</v>
      </c>
    </row>
    <row r="139" spans="6:7" x14ac:dyDescent="0.3">
      <c r="F139" s="4">
        <v>100.26686702954316</v>
      </c>
      <c r="G139" s="3">
        <v>138</v>
      </c>
    </row>
    <row r="140" spans="6:7" x14ac:dyDescent="0.3">
      <c r="F140" s="4">
        <v>106.0513116285849</v>
      </c>
      <c r="G140" s="10">
        <v>139</v>
      </c>
    </row>
    <row r="141" spans="6:7" x14ac:dyDescent="0.3">
      <c r="F141" s="4">
        <v>89.428309341885594</v>
      </c>
      <c r="G141" s="3">
        <v>140</v>
      </c>
    </row>
    <row r="142" spans="6:7" x14ac:dyDescent="0.3">
      <c r="F142" s="4">
        <v>126.53946665607633</v>
      </c>
      <c r="G142" s="10">
        <v>141</v>
      </c>
    </row>
    <row r="143" spans="6:7" x14ac:dyDescent="0.3">
      <c r="F143" s="4">
        <v>88.467285417128878</v>
      </c>
      <c r="G143" s="3">
        <v>142</v>
      </c>
    </row>
    <row r="144" spans="6:7" x14ac:dyDescent="0.3">
      <c r="F144" s="4">
        <v>108.47420169302744</v>
      </c>
      <c r="G144" s="10">
        <v>143</v>
      </c>
    </row>
    <row r="145" spans="6:7" x14ac:dyDescent="0.3">
      <c r="F145" s="4">
        <v>144.81117463689631</v>
      </c>
      <c r="G145" s="3">
        <v>144</v>
      </c>
    </row>
    <row r="146" spans="6:7" x14ac:dyDescent="0.3">
      <c r="F146" s="4">
        <v>132.0494166593403</v>
      </c>
      <c r="G146" s="10">
        <v>145</v>
      </c>
    </row>
    <row r="147" spans="6:7" x14ac:dyDescent="0.3">
      <c r="F147" s="4">
        <v>157.08901858571579</v>
      </c>
      <c r="G147" s="3">
        <v>146</v>
      </c>
    </row>
    <row r="148" spans="6:7" x14ac:dyDescent="0.3">
      <c r="F148" s="4">
        <v>79.14291506266747</v>
      </c>
      <c r="G148" s="10">
        <v>147</v>
      </c>
    </row>
    <row r="149" spans="6:7" x14ac:dyDescent="0.3">
      <c r="F149" s="4">
        <v>93.749693076841027</v>
      </c>
      <c r="G149" s="3">
        <v>148</v>
      </c>
    </row>
    <row r="150" spans="6:7" x14ac:dyDescent="0.3">
      <c r="F150" s="4">
        <v>126.47070189323868</v>
      </c>
      <c r="G150" s="10">
        <v>149</v>
      </c>
    </row>
    <row r="151" spans="6:7" x14ac:dyDescent="0.3">
      <c r="F151" s="4">
        <v>103.93485466277463</v>
      </c>
      <c r="G151" s="3">
        <v>150</v>
      </c>
    </row>
    <row r="152" spans="6:7" x14ac:dyDescent="0.3">
      <c r="F152" s="4">
        <v>79.440360877528704</v>
      </c>
      <c r="G152" s="10">
        <v>151</v>
      </c>
    </row>
    <row r="153" spans="6:7" x14ac:dyDescent="0.3">
      <c r="F153" s="4">
        <v>80.149660748411705</v>
      </c>
      <c r="G153" s="3">
        <v>152</v>
      </c>
    </row>
    <row r="154" spans="6:7" x14ac:dyDescent="0.3">
      <c r="F154" s="4">
        <v>79.862053995891571</v>
      </c>
      <c r="G154" s="10">
        <v>153</v>
      </c>
    </row>
    <row r="155" spans="6:7" x14ac:dyDescent="0.3">
      <c r="F155" s="4">
        <v>88.140026657137668</v>
      </c>
      <c r="G155" s="3">
        <v>154</v>
      </c>
    </row>
    <row r="156" spans="6:7" x14ac:dyDescent="0.3">
      <c r="F156" s="4">
        <v>81.95336748381402</v>
      </c>
      <c r="G156" s="10">
        <v>155</v>
      </c>
    </row>
    <row r="157" spans="6:7" x14ac:dyDescent="0.3">
      <c r="F157" s="4">
        <v>89.772646535818225</v>
      </c>
      <c r="G157" s="3">
        <v>156</v>
      </c>
    </row>
    <row r="158" spans="6:7" x14ac:dyDescent="0.3">
      <c r="F158" s="4">
        <v>96.066980462172054</v>
      </c>
      <c r="G158" s="10">
        <v>157</v>
      </c>
    </row>
    <row r="159" spans="6:7" x14ac:dyDescent="0.3">
      <c r="F159" s="4">
        <v>160.89421679376716</v>
      </c>
      <c r="G159" s="3">
        <v>158</v>
      </c>
    </row>
    <row r="160" spans="6:7" x14ac:dyDescent="0.3">
      <c r="F160" s="4">
        <v>109.16784724006136</v>
      </c>
      <c r="G160" s="10">
        <v>159</v>
      </c>
    </row>
    <row r="161" spans="6:7" x14ac:dyDescent="0.3">
      <c r="F161" s="4">
        <v>80.081212303433318</v>
      </c>
      <c r="G161" s="3">
        <v>160</v>
      </c>
    </row>
    <row r="162" spans="6:7" x14ac:dyDescent="0.3">
      <c r="F162" s="4">
        <v>89.361561139136512</v>
      </c>
      <c r="G162" s="10">
        <v>161</v>
      </c>
    </row>
    <row r="163" spans="6:7" x14ac:dyDescent="0.3">
      <c r="F163" s="4">
        <v>99.718765301355063</v>
      </c>
      <c r="G163" s="3">
        <v>162</v>
      </c>
    </row>
    <row r="164" spans="6:7" x14ac:dyDescent="0.3">
      <c r="F164" s="4">
        <v>96.594851344029678</v>
      </c>
      <c r="G164" s="10">
        <v>163</v>
      </c>
    </row>
    <row r="165" spans="6:7" x14ac:dyDescent="0.3">
      <c r="F165" s="4">
        <v>105.60284440900509</v>
      </c>
      <c r="G165" s="3">
        <v>164</v>
      </c>
    </row>
    <row r="166" spans="6:7" x14ac:dyDescent="0.3">
      <c r="F166" s="4">
        <v>96.753027783785782</v>
      </c>
      <c r="G166" s="10">
        <v>165</v>
      </c>
    </row>
    <row r="167" spans="6:7" x14ac:dyDescent="0.3">
      <c r="F167" s="4">
        <v>80.162376791520458</v>
      </c>
      <c r="G167" s="3">
        <v>166</v>
      </c>
    </row>
    <row r="168" spans="6:7" x14ac:dyDescent="0.3">
      <c r="F168" s="4">
        <v>148.94136337987254</v>
      </c>
      <c r="G168" s="10">
        <v>167</v>
      </c>
    </row>
    <row r="169" spans="6:7" x14ac:dyDescent="0.3">
      <c r="F169" s="4">
        <v>80.026004974604589</v>
      </c>
      <c r="G169" s="3">
        <v>168</v>
      </c>
    </row>
    <row r="170" spans="6:7" x14ac:dyDescent="0.3">
      <c r="F170" s="4">
        <v>105.8983418771586</v>
      </c>
      <c r="G170" s="10">
        <v>169</v>
      </c>
    </row>
    <row r="171" spans="6:7" x14ac:dyDescent="0.3">
      <c r="F171" s="4">
        <v>107.41909846122778</v>
      </c>
      <c r="G171" s="3">
        <v>170</v>
      </c>
    </row>
    <row r="172" spans="6:7" x14ac:dyDescent="0.3">
      <c r="F172" s="4">
        <v>137.60381864410274</v>
      </c>
      <c r="G172" s="10">
        <v>171</v>
      </c>
    </row>
    <row r="173" spans="6:7" x14ac:dyDescent="0.3">
      <c r="F173" s="4">
        <v>100.51175280219412</v>
      </c>
      <c r="G173" s="3">
        <v>172</v>
      </c>
    </row>
    <row r="174" spans="6:7" x14ac:dyDescent="0.3">
      <c r="F174" s="4">
        <v>80.171902475170569</v>
      </c>
      <c r="G174" s="10">
        <v>173</v>
      </c>
    </row>
    <row r="175" spans="6:7" x14ac:dyDescent="0.3">
      <c r="F175" s="4">
        <v>79.600425468735068</v>
      </c>
      <c r="G175" s="3">
        <v>174</v>
      </c>
    </row>
    <row r="176" spans="6:7" x14ac:dyDescent="0.3">
      <c r="F176" s="4">
        <v>79.816587323182191</v>
      </c>
      <c r="G176" s="10">
        <v>175</v>
      </c>
    </row>
    <row r="177" spans="6:7" x14ac:dyDescent="0.3">
      <c r="F177" s="4">
        <v>103.42215198159126</v>
      </c>
      <c r="G177" s="3">
        <v>176</v>
      </c>
    </row>
    <row r="178" spans="6:7" x14ac:dyDescent="0.3">
      <c r="F178" s="4">
        <v>149.6953815039268</v>
      </c>
      <c r="G178" s="10">
        <v>177</v>
      </c>
    </row>
    <row r="179" spans="6:7" x14ac:dyDescent="0.3">
      <c r="F179" s="4">
        <v>118.00568042884984</v>
      </c>
      <c r="G179" s="3">
        <v>178</v>
      </c>
    </row>
    <row r="180" spans="6:7" x14ac:dyDescent="0.3">
      <c r="F180" s="4">
        <v>127.63211239412362</v>
      </c>
      <c r="G180" s="10">
        <v>179</v>
      </c>
    </row>
    <row r="181" spans="6:7" x14ac:dyDescent="0.3">
      <c r="F181" s="4">
        <v>78.880535698717168</v>
      </c>
      <c r="G181" s="3">
        <v>180</v>
      </c>
    </row>
    <row r="182" spans="6:7" x14ac:dyDescent="0.3">
      <c r="F182" s="4">
        <v>106.55234378102203</v>
      </c>
      <c r="G182" s="10">
        <v>181</v>
      </c>
    </row>
    <row r="183" spans="6:7" x14ac:dyDescent="0.3">
      <c r="F183" s="4">
        <v>181.25970132315544</v>
      </c>
      <c r="G183" s="3">
        <v>182</v>
      </c>
    </row>
    <row r="184" spans="6:7" x14ac:dyDescent="0.3">
      <c r="F184" s="4">
        <v>103.96616329231136</v>
      </c>
      <c r="G184" s="10">
        <v>183</v>
      </c>
    </row>
    <row r="185" spans="6:7" x14ac:dyDescent="0.3">
      <c r="F185" s="4">
        <v>80.127551749460579</v>
      </c>
      <c r="G185" s="3">
        <v>184</v>
      </c>
    </row>
    <row r="186" spans="6:7" x14ac:dyDescent="0.3">
      <c r="F186" s="4">
        <v>135.78292579201923</v>
      </c>
      <c r="G186" s="10">
        <v>185</v>
      </c>
    </row>
    <row r="187" spans="6:7" x14ac:dyDescent="0.3">
      <c r="F187" s="4">
        <v>80.404397104268952</v>
      </c>
      <c r="G187" s="3">
        <v>186</v>
      </c>
    </row>
    <row r="188" spans="6:7" x14ac:dyDescent="0.3">
      <c r="F188" s="4">
        <v>129.34963185788374</v>
      </c>
      <c r="G188" s="10">
        <v>187</v>
      </c>
    </row>
    <row r="189" spans="6:7" x14ac:dyDescent="0.3">
      <c r="F189" s="4">
        <v>98.497895541848081</v>
      </c>
      <c r="G189" s="3">
        <v>188</v>
      </c>
    </row>
    <row r="190" spans="6:7" x14ac:dyDescent="0.3">
      <c r="F190" s="4">
        <v>102.97640654499322</v>
      </c>
      <c r="G190" s="10">
        <v>189</v>
      </c>
    </row>
    <row r="191" spans="6:7" x14ac:dyDescent="0.3">
      <c r="F191" s="4">
        <v>95.503206463875557</v>
      </c>
      <c r="G191" s="3">
        <v>190</v>
      </c>
    </row>
    <row r="192" spans="6:7" x14ac:dyDescent="0.3">
      <c r="F192" s="4">
        <v>103.28019449205863</v>
      </c>
      <c r="G192" s="10">
        <v>191</v>
      </c>
    </row>
    <row r="193" spans="6:7" x14ac:dyDescent="0.3">
      <c r="F193" s="4">
        <v>83.975067285854294</v>
      </c>
      <c r="G193" s="3">
        <v>192</v>
      </c>
    </row>
    <row r="194" spans="6:7" x14ac:dyDescent="0.3">
      <c r="F194" s="4">
        <v>105.53128143063698</v>
      </c>
      <c r="G194" s="10">
        <v>193</v>
      </c>
    </row>
    <row r="195" spans="6:7" x14ac:dyDescent="0.3">
      <c r="F195" s="4">
        <v>79.141761017781704</v>
      </c>
      <c r="G195" s="3">
        <v>194</v>
      </c>
    </row>
    <row r="196" spans="6:7" x14ac:dyDescent="0.3">
      <c r="F196" s="4">
        <v>80.944218534017708</v>
      </c>
      <c r="G196" s="10">
        <v>195</v>
      </c>
    </row>
    <row r="197" spans="6:7" x14ac:dyDescent="0.3">
      <c r="F197" s="4">
        <v>107.61979497880078</v>
      </c>
      <c r="G197" s="3">
        <v>196</v>
      </c>
    </row>
    <row r="198" spans="6:7" x14ac:dyDescent="0.3">
      <c r="F198" s="4">
        <v>80.363834033697159</v>
      </c>
      <c r="G198" s="10">
        <v>197</v>
      </c>
    </row>
    <row r="199" spans="6:7" x14ac:dyDescent="0.3">
      <c r="F199" s="4">
        <v>79.478509123743692</v>
      </c>
      <c r="G199" s="3">
        <v>198</v>
      </c>
    </row>
    <row r="200" spans="6:7" x14ac:dyDescent="0.3">
      <c r="F200" s="4">
        <v>150.62256853698702</v>
      </c>
      <c r="G200" s="10">
        <v>199</v>
      </c>
    </row>
    <row r="201" spans="6:7" x14ac:dyDescent="0.3">
      <c r="F201" s="4">
        <v>96.505643288073585</v>
      </c>
      <c r="G201" s="3">
        <v>200</v>
      </c>
    </row>
    <row r="202" spans="6:7" x14ac:dyDescent="0.3">
      <c r="F202" s="4">
        <v>81.293541441952968</v>
      </c>
      <c r="G202" s="10">
        <v>201</v>
      </c>
    </row>
    <row r="203" spans="6:7" x14ac:dyDescent="0.3">
      <c r="F203" s="4">
        <v>79.877886757769971</v>
      </c>
      <c r="G203" s="3">
        <v>202</v>
      </c>
    </row>
    <row r="204" spans="6:7" x14ac:dyDescent="0.3">
      <c r="F204" s="4">
        <v>80.350168263091987</v>
      </c>
      <c r="G204" s="10">
        <v>203</v>
      </c>
    </row>
    <row r="205" spans="6:7" x14ac:dyDescent="0.3">
      <c r="F205" s="4">
        <v>120.88980240595424</v>
      </c>
      <c r="G205" s="3">
        <v>204</v>
      </c>
    </row>
    <row r="206" spans="6:7" x14ac:dyDescent="0.3">
      <c r="F206" s="4">
        <v>79.760037040415156</v>
      </c>
      <c r="G206" s="10">
        <v>205</v>
      </c>
    </row>
    <row r="207" spans="6:7" x14ac:dyDescent="0.3">
      <c r="F207" s="4">
        <v>158.89427457480275</v>
      </c>
      <c r="G207" s="3">
        <v>206</v>
      </c>
    </row>
    <row r="208" spans="6:7" x14ac:dyDescent="0.3">
      <c r="F208" s="4">
        <v>136.65329573026222</v>
      </c>
      <c r="G208" s="10">
        <v>207</v>
      </c>
    </row>
    <row r="209" spans="6:7" x14ac:dyDescent="0.3">
      <c r="F209" s="4">
        <v>80.881151304371457</v>
      </c>
      <c r="G209" s="3">
        <v>208</v>
      </c>
    </row>
    <row r="210" spans="6:7" x14ac:dyDescent="0.3">
      <c r="F210" s="4">
        <v>182.97245435586643</v>
      </c>
      <c r="G210" s="10">
        <v>209</v>
      </c>
    </row>
    <row r="211" spans="6:7" x14ac:dyDescent="0.3">
      <c r="F211" s="4">
        <v>165.12622032695458</v>
      </c>
      <c r="G211" s="3">
        <v>210</v>
      </c>
    </row>
    <row r="212" spans="6:7" x14ac:dyDescent="0.3">
      <c r="F212" s="4">
        <v>88.632035292152054</v>
      </c>
      <c r="G212" s="10">
        <v>211</v>
      </c>
    </row>
    <row r="213" spans="6:7" x14ac:dyDescent="0.3">
      <c r="F213" s="4">
        <v>83.518147743656343</v>
      </c>
      <c r="G213" s="3">
        <v>212</v>
      </c>
    </row>
    <row r="214" spans="6:7" x14ac:dyDescent="0.3">
      <c r="F214" s="4">
        <v>109.64069358464384</v>
      </c>
      <c r="G214" s="10">
        <v>213</v>
      </c>
    </row>
    <row r="215" spans="6:7" x14ac:dyDescent="0.3">
      <c r="F215" s="4">
        <v>79.780672041061251</v>
      </c>
      <c r="G215" s="3">
        <v>214</v>
      </c>
    </row>
    <row r="216" spans="6:7" x14ac:dyDescent="0.3">
      <c r="F216" s="4">
        <v>79.218842124789603</v>
      </c>
      <c r="G216" s="10">
        <v>215</v>
      </c>
    </row>
    <row r="217" spans="6:7" x14ac:dyDescent="0.3">
      <c r="F217" s="4">
        <v>92.339412005589807</v>
      </c>
      <c r="G217" s="3">
        <v>216</v>
      </c>
    </row>
    <row r="218" spans="6:7" x14ac:dyDescent="0.3">
      <c r="F218" s="4">
        <v>156.92568518931824</v>
      </c>
      <c r="G218" s="10">
        <v>217</v>
      </c>
    </row>
    <row r="219" spans="6:7" x14ac:dyDescent="0.3">
      <c r="F219" s="4">
        <v>88.211022115998702</v>
      </c>
      <c r="G219" s="3">
        <v>218</v>
      </c>
    </row>
    <row r="220" spans="6:7" x14ac:dyDescent="0.3">
      <c r="F220" s="4">
        <v>80.237943892476665</v>
      </c>
      <c r="G220" s="10">
        <v>219</v>
      </c>
    </row>
    <row r="221" spans="6:7" x14ac:dyDescent="0.3">
      <c r="F221" s="4">
        <v>84.93251648342698</v>
      </c>
      <c r="G221" s="3">
        <v>220</v>
      </c>
    </row>
    <row r="222" spans="6:7" x14ac:dyDescent="0.3">
      <c r="F222" s="4">
        <v>119.67221987243668</v>
      </c>
      <c r="G222" s="10">
        <v>221</v>
      </c>
    </row>
    <row r="223" spans="6:7" x14ac:dyDescent="0.3">
      <c r="F223" s="4">
        <v>109.96276095219369</v>
      </c>
      <c r="G223" s="3">
        <v>222</v>
      </c>
    </row>
    <row r="224" spans="6:7" x14ac:dyDescent="0.3">
      <c r="F224" s="4">
        <v>111.4286668251731</v>
      </c>
      <c r="G224" s="10">
        <v>223</v>
      </c>
    </row>
    <row r="225" spans="6:7" x14ac:dyDescent="0.3">
      <c r="F225" s="4">
        <v>83.526576591215317</v>
      </c>
      <c r="G225" s="3">
        <v>224</v>
      </c>
    </row>
    <row r="226" spans="6:7" x14ac:dyDescent="0.3">
      <c r="F226" s="4">
        <v>80.197028310401066</v>
      </c>
      <c r="G226" s="10">
        <v>225</v>
      </c>
    </row>
    <row r="227" spans="6:7" x14ac:dyDescent="0.3">
      <c r="F227" s="4">
        <v>102.21164719891912</v>
      </c>
      <c r="G227" s="3">
        <v>226</v>
      </c>
    </row>
    <row r="228" spans="6:7" x14ac:dyDescent="0.3">
      <c r="F228" s="4">
        <v>86.262891863485706</v>
      </c>
      <c r="G228" s="10">
        <v>227</v>
      </c>
    </row>
    <row r="229" spans="6:7" x14ac:dyDescent="0.3">
      <c r="F229" s="4">
        <v>79.891375197871</v>
      </c>
      <c r="G229" s="3">
        <v>228</v>
      </c>
    </row>
    <row r="230" spans="6:7" x14ac:dyDescent="0.3">
      <c r="F230" s="4">
        <v>79.402641243914843</v>
      </c>
      <c r="G230" s="10">
        <v>229</v>
      </c>
    </row>
    <row r="231" spans="6:7" x14ac:dyDescent="0.3">
      <c r="F231" s="4">
        <v>132.36759128329078</v>
      </c>
      <c r="G231" s="3">
        <v>230</v>
      </c>
    </row>
    <row r="232" spans="6:7" x14ac:dyDescent="0.3">
      <c r="F232" s="4">
        <v>80.260356753434934</v>
      </c>
      <c r="G232" s="10">
        <v>231</v>
      </c>
    </row>
    <row r="233" spans="6:7" x14ac:dyDescent="0.3">
      <c r="F233" s="4">
        <v>131.19256447397936</v>
      </c>
      <c r="G233" s="3">
        <v>232</v>
      </c>
    </row>
    <row r="234" spans="6:7" x14ac:dyDescent="0.3">
      <c r="F234" s="4">
        <v>123.93367970415102</v>
      </c>
      <c r="G234" s="10">
        <v>233</v>
      </c>
    </row>
    <row r="235" spans="6:7" x14ac:dyDescent="0.3">
      <c r="F235" s="4">
        <v>80.436072844786224</v>
      </c>
      <c r="G235" s="3">
        <v>234</v>
      </c>
    </row>
    <row r="236" spans="6:7" x14ac:dyDescent="0.3">
      <c r="F236" s="4">
        <v>147.86849225393627</v>
      </c>
      <c r="G236" s="10">
        <v>235</v>
      </c>
    </row>
    <row r="237" spans="6:7" x14ac:dyDescent="0.3">
      <c r="F237" s="4">
        <v>118.56918032897036</v>
      </c>
      <c r="G237" s="3">
        <v>236</v>
      </c>
    </row>
    <row r="238" spans="6:7" x14ac:dyDescent="0.3">
      <c r="F238" s="4">
        <v>88.940403132132445</v>
      </c>
      <c r="G238" s="10">
        <v>237</v>
      </c>
    </row>
    <row r="239" spans="6:7" x14ac:dyDescent="0.3">
      <c r="F239" s="4">
        <v>79.80187749103078</v>
      </c>
      <c r="G239" s="3">
        <v>238</v>
      </c>
    </row>
    <row r="240" spans="6:7" x14ac:dyDescent="0.3">
      <c r="F240" s="4">
        <v>93.500477828569501</v>
      </c>
      <c r="G240" s="10">
        <v>239</v>
      </c>
    </row>
    <row r="241" spans="6:7" x14ac:dyDescent="0.3">
      <c r="F241" s="4">
        <v>102.76298140094404</v>
      </c>
      <c r="G241" s="3">
        <v>240</v>
      </c>
    </row>
    <row r="242" spans="6:7" x14ac:dyDescent="0.3">
      <c r="F242" s="4">
        <v>133.01830348926103</v>
      </c>
      <c r="G242" s="10">
        <v>241</v>
      </c>
    </row>
    <row r="243" spans="6:7" x14ac:dyDescent="0.3">
      <c r="F243" s="4">
        <v>141.89076780215487</v>
      </c>
      <c r="G243" s="3">
        <v>242</v>
      </c>
    </row>
    <row r="244" spans="6:7" x14ac:dyDescent="0.3">
      <c r="F244" s="4">
        <v>110.78114474516141</v>
      </c>
      <c r="G244" s="10">
        <v>243</v>
      </c>
    </row>
    <row r="245" spans="6:7" x14ac:dyDescent="0.3">
      <c r="F245" s="4">
        <v>80.098595848949302</v>
      </c>
      <c r="G245" s="3">
        <v>244</v>
      </c>
    </row>
    <row r="246" spans="6:7" x14ac:dyDescent="0.3">
      <c r="F246" s="4">
        <v>115.61992996621122</v>
      </c>
      <c r="G246" s="10">
        <v>245</v>
      </c>
    </row>
    <row r="247" spans="6:7" x14ac:dyDescent="0.3">
      <c r="F247" s="4">
        <v>158.15113070746921</v>
      </c>
      <c r="G247" s="3">
        <v>246</v>
      </c>
    </row>
    <row r="248" spans="6:7" x14ac:dyDescent="0.3">
      <c r="F248" s="4">
        <v>105.17794162208922</v>
      </c>
      <c r="G248" s="10">
        <v>247</v>
      </c>
    </row>
    <row r="249" spans="6:7" x14ac:dyDescent="0.3">
      <c r="F249" s="4">
        <v>127.81606223709976</v>
      </c>
      <c r="G249" s="3">
        <v>248</v>
      </c>
    </row>
    <row r="250" spans="6:7" x14ac:dyDescent="0.3">
      <c r="F250" s="4">
        <v>79.918607304377986</v>
      </c>
      <c r="G250" s="10">
        <v>249</v>
      </c>
    </row>
    <row r="251" spans="6:7" x14ac:dyDescent="0.3">
      <c r="F251" s="4">
        <v>80.113281204620279</v>
      </c>
      <c r="G251" s="3">
        <v>250</v>
      </c>
    </row>
    <row r="252" spans="6:7" x14ac:dyDescent="0.3">
      <c r="F252" s="4">
        <v>87.985306738480986</v>
      </c>
      <c r="G252" s="10">
        <v>251</v>
      </c>
    </row>
    <row r="253" spans="6:7" x14ac:dyDescent="0.3">
      <c r="F253" s="4">
        <v>80.051177536349826</v>
      </c>
      <c r="G253" s="3">
        <v>252</v>
      </c>
    </row>
    <row r="254" spans="6:7" x14ac:dyDescent="0.3">
      <c r="F254" s="4">
        <v>149.60710747233074</v>
      </c>
      <c r="G254" s="10">
        <v>253</v>
      </c>
    </row>
    <row r="255" spans="6:7" x14ac:dyDescent="0.3">
      <c r="F255" s="4">
        <v>80.20765153641085</v>
      </c>
      <c r="G255" s="3">
        <v>254</v>
      </c>
    </row>
    <row r="256" spans="6:7" x14ac:dyDescent="0.3">
      <c r="F256" s="4">
        <v>107.62688420845765</v>
      </c>
      <c r="G256" s="10">
        <v>255</v>
      </c>
    </row>
    <row r="257" spans="6:7" x14ac:dyDescent="0.3">
      <c r="F257" s="4">
        <v>156.67252471535016</v>
      </c>
      <c r="G257" s="3">
        <v>256</v>
      </c>
    </row>
    <row r="258" spans="6:7" x14ac:dyDescent="0.3">
      <c r="F258" s="4">
        <v>134.42660542309213</v>
      </c>
      <c r="G258" s="10">
        <v>257</v>
      </c>
    </row>
    <row r="259" spans="6:7" x14ac:dyDescent="0.3">
      <c r="F259" s="4">
        <v>101.55462664687585</v>
      </c>
      <c r="G259" s="3">
        <v>258</v>
      </c>
    </row>
    <row r="260" spans="6:7" x14ac:dyDescent="0.3">
      <c r="F260" s="4">
        <v>125.03566433430072</v>
      </c>
      <c r="G260" s="10">
        <v>259</v>
      </c>
    </row>
    <row r="261" spans="6:7" x14ac:dyDescent="0.3">
      <c r="F261" s="4">
        <v>79.951549300048782</v>
      </c>
      <c r="G261" s="3">
        <v>260</v>
      </c>
    </row>
    <row r="262" spans="6:7" x14ac:dyDescent="0.3">
      <c r="F262" s="4">
        <v>126.87433195323895</v>
      </c>
      <c r="G262" s="10">
        <v>261</v>
      </c>
    </row>
    <row r="263" spans="6:7" x14ac:dyDescent="0.3">
      <c r="F263" s="4">
        <v>100.34077142025387</v>
      </c>
      <c r="G263" s="3">
        <v>262</v>
      </c>
    </row>
    <row r="264" spans="6:7" x14ac:dyDescent="0.3">
      <c r="F264" s="4">
        <v>90.776188621020268</v>
      </c>
      <c r="G264" s="10">
        <v>263</v>
      </c>
    </row>
    <row r="265" spans="6:7" x14ac:dyDescent="0.3">
      <c r="F265" s="4">
        <v>80.099036304353817</v>
      </c>
      <c r="G265" s="3">
        <v>264</v>
      </c>
    </row>
    <row r="266" spans="6:7" x14ac:dyDescent="0.3">
      <c r="F266" s="4">
        <v>151.63053443649136</v>
      </c>
      <c r="G266" s="10">
        <v>265</v>
      </c>
    </row>
    <row r="267" spans="6:7" x14ac:dyDescent="0.3">
      <c r="F267" s="4">
        <v>80.067753730481542</v>
      </c>
      <c r="G267" s="3">
        <v>266</v>
      </c>
    </row>
    <row r="268" spans="6:7" x14ac:dyDescent="0.3">
      <c r="F268" s="4">
        <v>117.76231941738629</v>
      </c>
      <c r="G268" s="10">
        <v>267</v>
      </c>
    </row>
    <row r="269" spans="6:7" x14ac:dyDescent="0.3">
      <c r="F269" s="4">
        <v>101.98202967360228</v>
      </c>
      <c r="G269" s="3">
        <v>268</v>
      </c>
    </row>
    <row r="270" spans="6:7" x14ac:dyDescent="0.3">
      <c r="F270" s="4">
        <v>125.74700634853855</v>
      </c>
      <c r="G270" s="10">
        <v>269</v>
      </c>
    </row>
    <row r="271" spans="6:7" x14ac:dyDescent="0.3">
      <c r="F271" s="4">
        <v>84.831632324276697</v>
      </c>
      <c r="G271" s="3">
        <v>270</v>
      </c>
    </row>
    <row r="272" spans="6:7" x14ac:dyDescent="0.3">
      <c r="F272" s="4">
        <v>85.819617513531014</v>
      </c>
      <c r="G272" s="10">
        <v>271</v>
      </c>
    </row>
    <row r="273" spans="6:7" x14ac:dyDescent="0.3">
      <c r="F273" s="4">
        <v>127.3703265594574</v>
      </c>
      <c r="G273" s="3">
        <v>272</v>
      </c>
    </row>
    <row r="274" spans="6:7" x14ac:dyDescent="0.3">
      <c r="F274" s="4">
        <v>190.77885455723015</v>
      </c>
      <c r="G274" s="10">
        <v>273</v>
      </c>
    </row>
    <row r="275" spans="6:7" x14ac:dyDescent="0.3">
      <c r="F275" s="4">
        <v>121.66930043533742</v>
      </c>
      <c r="G275" s="3">
        <v>274</v>
      </c>
    </row>
    <row r="276" spans="6:7" x14ac:dyDescent="0.3">
      <c r="F276" s="4">
        <v>112.78983388607435</v>
      </c>
      <c r="G276" s="10">
        <v>275</v>
      </c>
    </row>
    <row r="277" spans="6:7" x14ac:dyDescent="0.3">
      <c r="F277" s="4">
        <v>148.243235372268</v>
      </c>
      <c r="G277" s="3">
        <v>276</v>
      </c>
    </row>
    <row r="278" spans="6:7" x14ac:dyDescent="0.3">
      <c r="F278" s="4">
        <v>81.303566570320911</v>
      </c>
      <c r="G278" s="10">
        <v>277</v>
      </c>
    </row>
    <row r="279" spans="6:7" x14ac:dyDescent="0.3">
      <c r="F279" s="4">
        <v>116.20671134548482</v>
      </c>
      <c r="G279" s="3">
        <v>278</v>
      </c>
    </row>
    <row r="280" spans="6:7" x14ac:dyDescent="0.3">
      <c r="F280" s="4">
        <v>86.458085191737936</v>
      </c>
      <c r="G280" s="10">
        <v>279</v>
      </c>
    </row>
    <row r="281" spans="6:7" x14ac:dyDescent="0.3">
      <c r="F281" s="4">
        <v>110.82548197882912</v>
      </c>
      <c r="G281" s="3">
        <v>280</v>
      </c>
    </row>
    <row r="282" spans="6:7" x14ac:dyDescent="0.3">
      <c r="F282" s="4">
        <v>152.00178979312938</v>
      </c>
      <c r="G282" s="10">
        <v>281</v>
      </c>
    </row>
    <row r="283" spans="6:7" x14ac:dyDescent="0.3">
      <c r="F283" s="4">
        <v>95.44695402983578</v>
      </c>
      <c r="G283" s="3">
        <v>282</v>
      </c>
    </row>
    <row r="284" spans="6:7" x14ac:dyDescent="0.3">
      <c r="F284" s="4">
        <v>95.941815966053539</v>
      </c>
      <c r="G284" s="10">
        <v>283</v>
      </c>
    </row>
    <row r="285" spans="6:7" x14ac:dyDescent="0.3">
      <c r="F285" s="4">
        <v>103.59792648930706</v>
      </c>
      <c r="G285" s="3">
        <v>284</v>
      </c>
    </row>
    <row r="286" spans="6:7" x14ac:dyDescent="0.3">
      <c r="F286" s="4">
        <v>102.03656432293748</v>
      </c>
      <c r="G286" s="10">
        <v>285</v>
      </c>
    </row>
    <row r="287" spans="6:7" x14ac:dyDescent="0.3">
      <c r="F287" s="4">
        <v>133.569984576233</v>
      </c>
      <c r="G287" s="3">
        <v>286</v>
      </c>
    </row>
    <row r="288" spans="6:7" x14ac:dyDescent="0.3">
      <c r="F288" s="4">
        <v>89.03750145491145</v>
      </c>
      <c r="G288" s="10">
        <v>287</v>
      </c>
    </row>
    <row r="289" spans="6:7" x14ac:dyDescent="0.3">
      <c r="F289" s="4">
        <v>128.43151462254383</v>
      </c>
      <c r="G289" s="3">
        <v>288</v>
      </c>
    </row>
    <row r="290" spans="6:7" x14ac:dyDescent="0.3">
      <c r="F290" s="4">
        <v>200.32014337262677</v>
      </c>
      <c r="G290" s="10">
        <v>289</v>
      </c>
    </row>
    <row r="291" spans="6:7" x14ac:dyDescent="0.3">
      <c r="F291" s="4">
        <v>80.700273526194451</v>
      </c>
      <c r="G291" s="3">
        <v>290</v>
      </c>
    </row>
    <row r="292" spans="6:7" x14ac:dyDescent="0.3">
      <c r="F292" s="4">
        <v>139.05881510987712</v>
      </c>
      <c r="G292" s="10">
        <v>291</v>
      </c>
    </row>
    <row r="293" spans="6:7" x14ac:dyDescent="0.3">
      <c r="F293" s="4">
        <v>79.634962168813317</v>
      </c>
      <c r="G293" s="3">
        <v>292</v>
      </c>
    </row>
    <row r="294" spans="6:7" x14ac:dyDescent="0.3">
      <c r="F294" s="4">
        <v>137.53369371287241</v>
      </c>
      <c r="G294" s="10">
        <v>293</v>
      </c>
    </row>
    <row r="295" spans="6:7" x14ac:dyDescent="0.3">
      <c r="F295" s="4">
        <v>180.78342967777709</v>
      </c>
      <c r="G295" s="3">
        <v>294</v>
      </c>
    </row>
    <row r="296" spans="6:7" x14ac:dyDescent="0.3">
      <c r="F296" s="4">
        <v>115.9802526472368</v>
      </c>
      <c r="G296" s="10">
        <v>295</v>
      </c>
    </row>
    <row r="297" spans="6:7" x14ac:dyDescent="0.3">
      <c r="F297" s="4">
        <v>106.02889692520012</v>
      </c>
      <c r="G297" s="3">
        <v>296</v>
      </c>
    </row>
    <row r="298" spans="6:7" x14ac:dyDescent="0.3">
      <c r="F298" s="4">
        <v>153.98651526784329</v>
      </c>
      <c r="G298" s="10">
        <v>297</v>
      </c>
    </row>
    <row r="299" spans="6:7" x14ac:dyDescent="0.3">
      <c r="F299" s="4">
        <v>91.039508035222468</v>
      </c>
      <c r="G299" s="3">
        <v>298</v>
      </c>
    </row>
    <row r="300" spans="6:7" x14ac:dyDescent="0.3">
      <c r="F300" s="4">
        <v>136.3322570012844</v>
      </c>
      <c r="G300" s="10">
        <v>299</v>
      </c>
    </row>
    <row r="301" spans="6:7" x14ac:dyDescent="0.3">
      <c r="F301" s="4">
        <v>131.18331782034304</v>
      </c>
      <c r="G301" s="3">
        <v>300</v>
      </c>
    </row>
    <row r="302" spans="6:7" x14ac:dyDescent="0.3">
      <c r="F302" s="4">
        <v>80.106160241078001</v>
      </c>
      <c r="G302" s="10">
        <v>301</v>
      </c>
    </row>
    <row r="303" spans="6:7" x14ac:dyDescent="0.3">
      <c r="F303" s="4">
        <v>80.546331767866718</v>
      </c>
      <c r="G303" s="3">
        <v>302</v>
      </c>
    </row>
    <row r="304" spans="6:7" x14ac:dyDescent="0.3">
      <c r="F304" s="4">
        <v>103.56708654597024</v>
      </c>
      <c r="G304" s="10">
        <v>303</v>
      </c>
    </row>
    <row r="305" spans="6:7" x14ac:dyDescent="0.3">
      <c r="F305" s="4">
        <v>94.814491813936542</v>
      </c>
      <c r="G305" s="3">
        <v>304</v>
      </c>
    </row>
    <row r="306" spans="6:7" x14ac:dyDescent="0.3">
      <c r="F306" s="4">
        <v>98.500199252695623</v>
      </c>
      <c r="G306" s="10">
        <v>305</v>
      </c>
    </row>
    <row r="307" spans="6:7" x14ac:dyDescent="0.3">
      <c r="F307" s="4">
        <v>81.142639705930776</v>
      </c>
      <c r="G307" s="3">
        <v>306</v>
      </c>
    </row>
    <row r="308" spans="6:7" x14ac:dyDescent="0.3">
      <c r="F308" s="4">
        <v>98.724670012949943</v>
      </c>
      <c r="G308" s="10">
        <v>307</v>
      </c>
    </row>
    <row r="309" spans="6:7" x14ac:dyDescent="0.3">
      <c r="F309" s="4">
        <v>83.495134067621422</v>
      </c>
      <c r="G309" s="3">
        <v>308</v>
      </c>
    </row>
    <row r="310" spans="6:7" x14ac:dyDescent="0.3">
      <c r="F310" s="4">
        <v>80.004690593621163</v>
      </c>
      <c r="G310" s="10">
        <v>309</v>
      </c>
    </row>
    <row r="311" spans="6:7" x14ac:dyDescent="0.3">
      <c r="F311" s="4">
        <v>79.856770319087062</v>
      </c>
      <c r="G311" s="3">
        <v>310</v>
      </c>
    </row>
    <row r="312" spans="6:7" x14ac:dyDescent="0.3">
      <c r="F312" s="4">
        <v>79.820958048243185</v>
      </c>
      <c r="G312" s="10">
        <v>311</v>
      </c>
    </row>
    <row r="313" spans="6:7" x14ac:dyDescent="0.3">
      <c r="F313" s="4">
        <v>105.8180650607827</v>
      </c>
      <c r="G313" s="3">
        <v>312</v>
      </c>
    </row>
    <row r="314" spans="6:7" x14ac:dyDescent="0.3">
      <c r="F314" s="4">
        <v>94.885776323564585</v>
      </c>
      <c r="G314" s="10">
        <v>313</v>
      </c>
    </row>
    <row r="315" spans="6:7" x14ac:dyDescent="0.3">
      <c r="F315" s="4">
        <v>85.213103312657537</v>
      </c>
      <c r="G315" s="3">
        <v>314</v>
      </c>
    </row>
    <row r="316" spans="6:7" x14ac:dyDescent="0.3">
      <c r="F316" s="4">
        <v>83.150114095019546</v>
      </c>
      <c r="G316" s="10">
        <v>315</v>
      </c>
    </row>
    <row r="317" spans="6:7" x14ac:dyDescent="0.3">
      <c r="F317" s="4">
        <v>103.01140157995702</v>
      </c>
      <c r="G317" s="3">
        <v>316</v>
      </c>
    </row>
    <row r="318" spans="6:7" x14ac:dyDescent="0.3">
      <c r="F318" s="4">
        <v>131.59589291381957</v>
      </c>
      <c r="G318" s="10">
        <v>317</v>
      </c>
    </row>
    <row r="319" spans="6:7" x14ac:dyDescent="0.3">
      <c r="F319" s="4">
        <v>110.34968682705708</v>
      </c>
      <c r="G319" s="3">
        <v>318</v>
      </c>
    </row>
    <row r="320" spans="6:7" x14ac:dyDescent="0.3">
      <c r="F320" s="4">
        <v>142.08385428790552</v>
      </c>
      <c r="G320" s="10">
        <v>319</v>
      </c>
    </row>
    <row r="321" spans="6:7" x14ac:dyDescent="0.3">
      <c r="F321" s="4">
        <v>141.4356704508599</v>
      </c>
      <c r="G321" s="3">
        <v>320</v>
      </c>
    </row>
    <row r="322" spans="6:7" x14ac:dyDescent="0.3">
      <c r="F322" s="4">
        <v>105.66849612718576</v>
      </c>
      <c r="G322" s="10">
        <v>321</v>
      </c>
    </row>
    <row r="323" spans="6:7" x14ac:dyDescent="0.3">
      <c r="F323" s="4">
        <v>89.826298242870678</v>
      </c>
      <c r="G323" s="3">
        <v>322</v>
      </c>
    </row>
    <row r="324" spans="6:7" x14ac:dyDescent="0.3">
      <c r="F324" s="4">
        <v>93.895131040930451</v>
      </c>
      <c r="G324" s="10">
        <v>323</v>
      </c>
    </row>
    <row r="325" spans="6:7" x14ac:dyDescent="0.3">
      <c r="F325" s="4">
        <v>104.77478209553111</v>
      </c>
      <c r="G325" s="3">
        <v>324</v>
      </c>
    </row>
    <row r="326" spans="6:7" x14ac:dyDescent="0.3">
      <c r="F326" s="4">
        <v>89.853884806692236</v>
      </c>
      <c r="G326" s="10">
        <v>325</v>
      </c>
    </row>
    <row r="327" spans="6:7" x14ac:dyDescent="0.3">
      <c r="F327" s="4">
        <v>93.155496107530638</v>
      </c>
      <c r="G327" s="3">
        <v>326</v>
      </c>
    </row>
    <row r="328" spans="6:7" x14ac:dyDescent="0.3">
      <c r="F328" s="4">
        <v>120.68410964863773</v>
      </c>
      <c r="G328" s="10">
        <v>327</v>
      </c>
    </row>
    <row r="329" spans="6:7" x14ac:dyDescent="0.3">
      <c r="F329" s="4">
        <v>178.70177236183304</v>
      </c>
      <c r="G329" s="3">
        <v>328</v>
      </c>
    </row>
    <row r="330" spans="6:7" x14ac:dyDescent="0.3">
      <c r="F330" s="4">
        <v>81.2245329814006</v>
      </c>
      <c r="G330" s="10">
        <v>329</v>
      </c>
    </row>
    <row r="331" spans="6:7" x14ac:dyDescent="0.3">
      <c r="F331" s="4">
        <v>176.52473285815395</v>
      </c>
      <c r="G331" s="3">
        <v>330</v>
      </c>
    </row>
    <row r="332" spans="6:7" x14ac:dyDescent="0.3">
      <c r="F332" s="4">
        <v>101.02331177085209</v>
      </c>
      <c r="G332" s="10">
        <v>331</v>
      </c>
    </row>
    <row r="333" spans="6:7" x14ac:dyDescent="0.3">
      <c r="F333" s="4">
        <v>81.500175572116561</v>
      </c>
      <c r="G333" s="3">
        <v>332</v>
      </c>
    </row>
    <row r="334" spans="6:7" x14ac:dyDescent="0.3">
      <c r="F334" s="4">
        <v>96.834193149979711</v>
      </c>
      <c r="G334" s="10">
        <v>333</v>
      </c>
    </row>
    <row r="335" spans="6:7" x14ac:dyDescent="0.3">
      <c r="F335" s="4">
        <v>132.91957327072637</v>
      </c>
      <c r="G335" s="3">
        <v>334</v>
      </c>
    </row>
    <row r="336" spans="6:7" x14ac:dyDescent="0.3">
      <c r="F336" s="4">
        <v>112.94045391433104</v>
      </c>
      <c r="G336" s="10">
        <v>335</v>
      </c>
    </row>
    <row r="337" spans="6:7" x14ac:dyDescent="0.3">
      <c r="F337" s="4">
        <v>95.878511093908884</v>
      </c>
      <c r="G337" s="3">
        <v>336</v>
      </c>
    </row>
    <row r="338" spans="6:7" x14ac:dyDescent="0.3">
      <c r="F338" s="4">
        <v>79.156259809165817</v>
      </c>
      <c r="G338" s="10">
        <v>337</v>
      </c>
    </row>
    <row r="339" spans="6:7" x14ac:dyDescent="0.3">
      <c r="F339" s="4">
        <v>84.538337731129772</v>
      </c>
      <c r="G339" s="3">
        <v>338</v>
      </c>
    </row>
    <row r="340" spans="6:7" x14ac:dyDescent="0.3">
      <c r="F340" s="4">
        <v>78.941592244752044</v>
      </c>
      <c r="G340" s="10">
        <v>339</v>
      </c>
    </row>
    <row r="341" spans="6:7" x14ac:dyDescent="0.3">
      <c r="F341" s="4">
        <v>88.781414609505234</v>
      </c>
      <c r="G341" s="3">
        <v>340</v>
      </c>
    </row>
    <row r="342" spans="6:7" x14ac:dyDescent="0.3">
      <c r="F342" s="4">
        <v>226.97309608266985</v>
      </c>
      <c r="G342" s="10">
        <v>341</v>
      </c>
    </row>
    <row r="343" spans="6:7" x14ac:dyDescent="0.3">
      <c r="F343" s="4">
        <v>94.882791584620122</v>
      </c>
      <c r="G343" s="3">
        <v>342</v>
      </c>
    </row>
    <row r="344" spans="6:7" x14ac:dyDescent="0.3">
      <c r="F344" s="4">
        <v>91.024749295016207</v>
      </c>
      <c r="G344" s="10">
        <v>343</v>
      </c>
    </row>
    <row r="345" spans="6:7" x14ac:dyDescent="0.3">
      <c r="F345" s="4">
        <v>86.838980556120646</v>
      </c>
      <c r="G345" s="3">
        <v>344</v>
      </c>
    </row>
    <row r="346" spans="6:7" x14ac:dyDescent="0.3">
      <c r="F346" s="4">
        <v>139.54767277388058</v>
      </c>
      <c r="G346" s="10">
        <v>345</v>
      </c>
    </row>
    <row r="347" spans="6:7" x14ac:dyDescent="0.3">
      <c r="F347" s="4">
        <v>80.221680910292505</v>
      </c>
      <c r="G347" s="3">
        <v>346</v>
      </c>
    </row>
    <row r="348" spans="6:7" x14ac:dyDescent="0.3">
      <c r="F348" s="4">
        <v>98.091687668093655</v>
      </c>
      <c r="G348" s="10">
        <v>347</v>
      </c>
    </row>
    <row r="349" spans="6:7" x14ac:dyDescent="0.3">
      <c r="F349" s="4">
        <v>80.264037409461366</v>
      </c>
      <c r="G349" s="3">
        <v>348</v>
      </c>
    </row>
    <row r="350" spans="6:7" x14ac:dyDescent="0.3">
      <c r="F350" s="4">
        <v>80.076439402291527</v>
      </c>
      <c r="G350" s="10">
        <v>349</v>
      </c>
    </row>
    <row r="351" spans="6:7" x14ac:dyDescent="0.3">
      <c r="F351" s="4">
        <v>96.604158959115352</v>
      </c>
      <c r="G351" s="3">
        <v>350</v>
      </c>
    </row>
    <row r="352" spans="6:7" x14ac:dyDescent="0.3">
      <c r="F352" s="4">
        <v>89.420942167935962</v>
      </c>
      <c r="G352" s="10">
        <v>351</v>
      </c>
    </row>
    <row r="353" spans="6:7" x14ac:dyDescent="0.3">
      <c r="F353" s="4">
        <v>110.44520448150017</v>
      </c>
      <c r="G353" s="3">
        <v>352</v>
      </c>
    </row>
    <row r="354" spans="6:7" x14ac:dyDescent="0.3">
      <c r="F354" s="4">
        <v>79.714450348928381</v>
      </c>
      <c r="G354" s="10">
        <v>353</v>
      </c>
    </row>
    <row r="355" spans="6:7" x14ac:dyDescent="0.3">
      <c r="F355" s="4">
        <v>79.062060648227515</v>
      </c>
      <c r="G355" s="3">
        <v>354</v>
      </c>
    </row>
    <row r="356" spans="6:7" x14ac:dyDescent="0.3">
      <c r="F356" s="4">
        <v>149.98391395290179</v>
      </c>
      <c r="G356" s="10">
        <v>355</v>
      </c>
    </row>
    <row r="357" spans="6:7" x14ac:dyDescent="0.3">
      <c r="F357" s="4">
        <v>85.424555663471551</v>
      </c>
      <c r="G357" s="3">
        <v>356</v>
      </c>
    </row>
    <row r="358" spans="6:7" x14ac:dyDescent="0.3">
      <c r="F358" s="4">
        <v>79.961393044820881</v>
      </c>
      <c r="G358" s="10">
        <v>357</v>
      </c>
    </row>
    <row r="359" spans="6:7" x14ac:dyDescent="0.3">
      <c r="F359" s="4">
        <v>86.222323736107455</v>
      </c>
      <c r="G359" s="3">
        <v>358</v>
      </c>
    </row>
    <row r="360" spans="6:7" x14ac:dyDescent="0.3">
      <c r="F360" s="4">
        <v>97.359673371117864</v>
      </c>
      <c r="G360" s="10">
        <v>359</v>
      </c>
    </row>
    <row r="361" spans="6:7" x14ac:dyDescent="0.3">
      <c r="F361" s="4">
        <v>97.376437310391992</v>
      </c>
      <c r="G361" s="3">
        <v>360</v>
      </c>
    </row>
    <row r="362" spans="6:7" x14ac:dyDescent="0.3">
      <c r="F362" s="4">
        <v>124.64710988698737</v>
      </c>
      <c r="G362" s="10">
        <v>361</v>
      </c>
    </row>
    <row r="363" spans="6:7" x14ac:dyDescent="0.3">
      <c r="F363" s="4">
        <v>136.06169004190565</v>
      </c>
      <c r="G363" s="3">
        <v>362</v>
      </c>
    </row>
    <row r="364" spans="6:7" x14ac:dyDescent="0.3">
      <c r="F364" s="4">
        <v>100.80642872358412</v>
      </c>
      <c r="G364" s="10">
        <v>363</v>
      </c>
    </row>
    <row r="365" spans="6:7" x14ac:dyDescent="0.3">
      <c r="F365" s="4">
        <v>88.139008508431417</v>
      </c>
      <c r="G365" s="3">
        <v>364</v>
      </c>
    </row>
    <row r="366" spans="6:7" x14ac:dyDescent="0.3">
      <c r="F366" s="4">
        <v>79.984125642415435</v>
      </c>
      <c r="G366" s="10">
        <v>365</v>
      </c>
    </row>
    <row r="367" spans="6:7" x14ac:dyDescent="0.3">
      <c r="F367" s="4">
        <v>143.96980189388151</v>
      </c>
      <c r="G367" s="3">
        <v>366</v>
      </c>
    </row>
    <row r="368" spans="6:7" x14ac:dyDescent="0.3">
      <c r="F368" s="4">
        <v>86.862263180755335</v>
      </c>
      <c r="G368" s="10">
        <v>367</v>
      </c>
    </row>
    <row r="369" spans="6:7" x14ac:dyDescent="0.3">
      <c r="F369" s="4">
        <v>79.854738790652831</v>
      </c>
      <c r="G369" s="3">
        <v>368</v>
      </c>
    </row>
    <row r="370" spans="6:7" x14ac:dyDescent="0.3">
      <c r="F370" s="4">
        <v>105.21155367819075</v>
      </c>
      <c r="G370" s="10">
        <v>369</v>
      </c>
    </row>
    <row r="371" spans="6:7" x14ac:dyDescent="0.3">
      <c r="F371" s="4">
        <v>87.817046884089947</v>
      </c>
      <c r="G371" s="3">
        <v>370</v>
      </c>
    </row>
    <row r="372" spans="6:7" x14ac:dyDescent="0.3">
      <c r="F372" s="4">
        <v>134.17923311909681</v>
      </c>
      <c r="G372" s="10">
        <v>371</v>
      </c>
    </row>
    <row r="373" spans="6:7" x14ac:dyDescent="0.3">
      <c r="F373" s="4">
        <v>80.339742076436281</v>
      </c>
      <c r="G373" s="3">
        <v>372</v>
      </c>
    </row>
    <row r="374" spans="6:7" x14ac:dyDescent="0.3">
      <c r="F374" s="4">
        <v>79.759064097077911</v>
      </c>
      <c r="G374" s="10">
        <v>373</v>
      </c>
    </row>
    <row r="375" spans="6:7" x14ac:dyDescent="0.3">
      <c r="F375" s="4">
        <v>111.53037461831795</v>
      </c>
      <c r="G375" s="3">
        <v>374</v>
      </c>
    </row>
    <row r="376" spans="6:7" x14ac:dyDescent="0.3">
      <c r="F376" s="4">
        <v>79.698588639565031</v>
      </c>
      <c r="G376" s="10">
        <v>375</v>
      </c>
    </row>
    <row r="377" spans="6:7" x14ac:dyDescent="0.3">
      <c r="F377" s="4">
        <v>106.10867854279873</v>
      </c>
      <c r="G377" s="3">
        <v>376</v>
      </c>
    </row>
    <row r="378" spans="6:7" x14ac:dyDescent="0.3">
      <c r="F378" s="4">
        <v>112.81939785294185</v>
      </c>
      <c r="G378" s="10">
        <v>377</v>
      </c>
    </row>
    <row r="379" spans="6:7" x14ac:dyDescent="0.3">
      <c r="F379" s="4">
        <v>109.32421828537699</v>
      </c>
      <c r="G379" s="3">
        <v>378</v>
      </c>
    </row>
    <row r="380" spans="6:7" x14ac:dyDescent="0.3">
      <c r="F380" s="4">
        <v>91.230832305985246</v>
      </c>
      <c r="G380" s="10">
        <v>379</v>
      </c>
    </row>
    <row r="381" spans="6:7" x14ac:dyDescent="0.3">
      <c r="F381" s="4">
        <v>86.848097864190024</v>
      </c>
      <c r="G381" s="3">
        <v>380</v>
      </c>
    </row>
    <row r="382" spans="6:7" x14ac:dyDescent="0.3">
      <c r="F382" s="4">
        <v>80.336690691209313</v>
      </c>
      <c r="G382" s="10">
        <v>381</v>
      </c>
    </row>
    <row r="383" spans="6:7" x14ac:dyDescent="0.3">
      <c r="F383" s="4">
        <v>84.876743818729082</v>
      </c>
      <c r="G383" s="3">
        <v>382</v>
      </c>
    </row>
    <row r="384" spans="6:7" x14ac:dyDescent="0.3">
      <c r="F384" s="4">
        <v>115.27033884758882</v>
      </c>
      <c r="G384" s="10">
        <v>383</v>
      </c>
    </row>
    <row r="385" spans="6:7" x14ac:dyDescent="0.3">
      <c r="F385" s="4">
        <v>129.03766737623567</v>
      </c>
      <c r="G385" s="3">
        <v>384</v>
      </c>
    </row>
    <row r="386" spans="6:7" x14ac:dyDescent="0.3">
      <c r="F386" s="4">
        <v>167.9013416374309</v>
      </c>
      <c r="G386" s="10">
        <v>385</v>
      </c>
    </row>
    <row r="387" spans="6:7" x14ac:dyDescent="0.3">
      <c r="F387" s="4">
        <v>91.590543799428474</v>
      </c>
      <c r="G387" s="3">
        <v>386</v>
      </c>
    </row>
    <row r="388" spans="6:7" x14ac:dyDescent="0.3">
      <c r="F388" s="4">
        <v>96.527701305917816</v>
      </c>
      <c r="G388" s="10">
        <v>387</v>
      </c>
    </row>
    <row r="389" spans="6:7" x14ac:dyDescent="0.3">
      <c r="F389" s="4">
        <v>138.42400421724048</v>
      </c>
      <c r="G389" s="3">
        <v>388</v>
      </c>
    </row>
    <row r="390" spans="6:7" x14ac:dyDescent="0.3">
      <c r="F390" s="4">
        <v>136.41506412020979</v>
      </c>
      <c r="G390" s="10">
        <v>389</v>
      </c>
    </row>
    <row r="391" spans="6:7" x14ac:dyDescent="0.3">
      <c r="F391" s="4">
        <v>100.06949350645372</v>
      </c>
      <c r="G391" s="3">
        <v>390</v>
      </c>
    </row>
    <row r="392" spans="6:7" x14ac:dyDescent="0.3">
      <c r="F392" s="4">
        <v>123.95338504348905</v>
      </c>
      <c r="G392" s="10">
        <v>391</v>
      </c>
    </row>
    <row r="393" spans="6:7" x14ac:dyDescent="0.3">
      <c r="F393" s="4">
        <v>123.28620368948684</v>
      </c>
      <c r="G393" s="3">
        <v>392</v>
      </c>
    </row>
    <row r="394" spans="6:7" x14ac:dyDescent="0.3">
      <c r="F394" s="4">
        <v>96.873301369111161</v>
      </c>
      <c r="G394" s="10">
        <v>393</v>
      </c>
    </row>
    <row r="395" spans="6:7" x14ac:dyDescent="0.3">
      <c r="F395" s="4">
        <v>196.32052138947773</v>
      </c>
      <c r="G395" s="3">
        <v>394</v>
      </c>
    </row>
    <row r="396" spans="6:7" x14ac:dyDescent="0.3">
      <c r="F396" s="4">
        <v>105.85199977750584</v>
      </c>
      <c r="G396" s="10">
        <v>395</v>
      </c>
    </row>
    <row r="397" spans="6:7" x14ac:dyDescent="0.3">
      <c r="F397" s="4">
        <v>105.8435206482928</v>
      </c>
      <c r="G397" s="3">
        <v>396</v>
      </c>
    </row>
    <row r="398" spans="6:7" x14ac:dyDescent="0.3">
      <c r="F398" s="4">
        <v>122.12502348701709</v>
      </c>
      <c r="G398" s="10">
        <v>397</v>
      </c>
    </row>
    <row r="399" spans="6:7" x14ac:dyDescent="0.3">
      <c r="F399" s="4">
        <v>80.289280101863724</v>
      </c>
      <c r="G399" s="3">
        <v>398</v>
      </c>
    </row>
    <row r="400" spans="6:7" x14ac:dyDescent="0.3">
      <c r="F400" s="4">
        <v>142.68023371958802</v>
      </c>
      <c r="G400" s="10">
        <v>399</v>
      </c>
    </row>
    <row r="401" spans="6:7" x14ac:dyDescent="0.3">
      <c r="F401" s="4">
        <v>79.779564690358399</v>
      </c>
      <c r="G401" s="3">
        <v>400</v>
      </c>
    </row>
    <row r="402" spans="6:7" x14ac:dyDescent="0.3">
      <c r="F402" s="4">
        <v>87.172062766675552</v>
      </c>
      <c r="G402" s="10">
        <v>401</v>
      </c>
    </row>
    <row r="403" spans="6:7" x14ac:dyDescent="0.3">
      <c r="F403" s="4">
        <v>84.488127834674714</v>
      </c>
      <c r="G403" s="3">
        <v>402</v>
      </c>
    </row>
    <row r="404" spans="6:7" x14ac:dyDescent="0.3">
      <c r="F404" s="4">
        <v>126.13526583359605</v>
      </c>
      <c r="G404" s="10">
        <v>403</v>
      </c>
    </row>
    <row r="405" spans="6:7" x14ac:dyDescent="0.3">
      <c r="F405" s="4">
        <v>137.59015990345705</v>
      </c>
      <c r="G405" s="3">
        <v>404</v>
      </c>
    </row>
    <row r="406" spans="6:7" x14ac:dyDescent="0.3">
      <c r="F406" s="4">
        <v>112.37539899382891</v>
      </c>
      <c r="G406" s="10">
        <v>405</v>
      </c>
    </row>
    <row r="407" spans="6:7" x14ac:dyDescent="0.3">
      <c r="F407" s="4">
        <v>79.889263476143512</v>
      </c>
      <c r="G407" s="3">
        <v>406</v>
      </c>
    </row>
    <row r="408" spans="6:7" x14ac:dyDescent="0.3">
      <c r="F408" s="4">
        <v>104.04446408760349</v>
      </c>
      <c r="G408" s="10">
        <v>407</v>
      </c>
    </row>
    <row r="409" spans="6:7" x14ac:dyDescent="0.3">
      <c r="F409" s="4">
        <v>103.75309642733365</v>
      </c>
      <c r="G409" s="3">
        <v>408</v>
      </c>
    </row>
    <row r="410" spans="6:7" x14ac:dyDescent="0.3">
      <c r="F410" s="4">
        <v>116.19516314017901</v>
      </c>
      <c r="G410" s="10">
        <v>409</v>
      </c>
    </row>
    <row r="411" spans="6:7" x14ac:dyDescent="0.3">
      <c r="F411" s="4">
        <v>113.89465146941987</v>
      </c>
      <c r="G411" s="3">
        <v>410</v>
      </c>
    </row>
    <row r="412" spans="6:7" x14ac:dyDescent="0.3">
      <c r="F412" s="4">
        <v>80.11433537960508</v>
      </c>
      <c r="G412" s="10">
        <v>411</v>
      </c>
    </row>
    <row r="413" spans="6:7" x14ac:dyDescent="0.3">
      <c r="F413" s="4">
        <v>79.786904347596277</v>
      </c>
      <c r="G413" s="3">
        <v>412</v>
      </c>
    </row>
    <row r="414" spans="6:7" x14ac:dyDescent="0.3">
      <c r="F414" s="4">
        <v>83.674994642883391</v>
      </c>
      <c r="G414" s="10">
        <v>413</v>
      </c>
    </row>
    <row r="415" spans="6:7" x14ac:dyDescent="0.3">
      <c r="F415" s="4">
        <v>79.661893695764974</v>
      </c>
      <c r="G415" s="3">
        <v>414</v>
      </c>
    </row>
    <row r="416" spans="6:7" x14ac:dyDescent="0.3">
      <c r="F416" s="4">
        <v>87.439676092168099</v>
      </c>
      <c r="G416" s="10">
        <v>415</v>
      </c>
    </row>
    <row r="417" spans="6:7" x14ac:dyDescent="0.3">
      <c r="F417" s="4">
        <v>103.55153586544573</v>
      </c>
      <c r="G417" s="3">
        <v>416</v>
      </c>
    </row>
    <row r="418" spans="6:7" x14ac:dyDescent="0.3">
      <c r="F418" s="4">
        <v>139.05922835644262</v>
      </c>
      <c r="G418" s="10">
        <v>417</v>
      </c>
    </row>
    <row r="419" spans="6:7" x14ac:dyDescent="0.3">
      <c r="F419" s="4">
        <v>124.88401986987812</v>
      </c>
      <c r="G419" s="3">
        <v>418</v>
      </c>
    </row>
    <row r="420" spans="6:7" x14ac:dyDescent="0.3">
      <c r="F420" s="4">
        <v>79.454900711398693</v>
      </c>
      <c r="G420" s="10">
        <v>419</v>
      </c>
    </row>
    <row r="421" spans="6:7" x14ac:dyDescent="0.3">
      <c r="F421" s="4">
        <v>80.407885357415623</v>
      </c>
      <c r="G421" s="3">
        <v>420</v>
      </c>
    </row>
    <row r="422" spans="6:7" x14ac:dyDescent="0.3">
      <c r="F422" s="4">
        <v>121.98263754015544</v>
      </c>
      <c r="G422" s="10">
        <v>421</v>
      </c>
    </row>
    <row r="423" spans="6:7" x14ac:dyDescent="0.3">
      <c r="F423" s="4">
        <v>80.187858577789044</v>
      </c>
      <c r="G423" s="3">
        <v>422</v>
      </c>
    </row>
    <row r="424" spans="6:7" x14ac:dyDescent="0.3">
      <c r="F424" s="4">
        <v>102.41851776132674</v>
      </c>
      <c r="G424" s="10">
        <v>423</v>
      </c>
    </row>
    <row r="425" spans="6:7" x14ac:dyDescent="0.3">
      <c r="F425" s="4">
        <v>84.225735164591455</v>
      </c>
      <c r="G425" s="3">
        <v>424</v>
      </c>
    </row>
    <row r="426" spans="6:7" x14ac:dyDescent="0.3">
      <c r="F426" s="4">
        <v>80.138174248371925</v>
      </c>
      <c r="G426" s="10">
        <v>425</v>
      </c>
    </row>
    <row r="427" spans="6:7" x14ac:dyDescent="0.3">
      <c r="F427" s="4">
        <v>80.723586441144505</v>
      </c>
      <c r="G427" s="3">
        <v>426</v>
      </c>
    </row>
    <row r="428" spans="6:7" x14ac:dyDescent="0.3">
      <c r="F428" s="4">
        <v>80.24635796994545</v>
      </c>
      <c r="G428" s="10">
        <v>427</v>
      </c>
    </row>
    <row r="429" spans="6:7" x14ac:dyDescent="0.3">
      <c r="F429" s="4">
        <v>123.16927286045193</v>
      </c>
      <c r="G429" s="3">
        <v>428</v>
      </c>
    </row>
    <row r="430" spans="6:7" x14ac:dyDescent="0.3">
      <c r="F430" s="4">
        <v>108.6220087364957</v>
      </c>
      <c r="G430" s="10">
        <v>429</v>
      </c>
    </row>
    <row r="431" spans="6:7" x14ac:dyDescent="0.3">
      <c r="F431" s="4">
        <v>91.08589356616389</v>
      </c>
      <c r="G431" s="3">
        <v>430</v>
      </c>
    </row>
    <row r="432" spans="6:7" x14ac:dyDescent="0.3">
      <c r="F432" s="4">
        <v>87.515743152366809</v>
      </c>
      <c r="G432" s="10">
        <v>431</v>
      </c>
    </row>
    <row r="433" spans="6:7" x14ac:dyDescent="0.3">
      <c r="F433" s="4">
        <v>79.872738784199996</v>
      </c>
      <c r="G433" s="3">
        <v>432</v>
      </c>
    </row>
    <row r="434" spans="6:7" x14ac:dyDescent="0.3">
      <c r="F434" s="4">
        <v>237.94332904709248</v>
      </c>
      <c r="G434" s="10">
        <v>433</v>
      </c>
    </row>
    <row r="435" spans="6:7" x14ac:dyDescent="0.3">
      <c r="F435" s="4">
        <v>79.731298051904943</v>
      </c>
      <c r="G435" s="3">
        <v>434</v>
      </c>
    </row>
    <row r="436" spans="6:7" x14ac:dyDescent="0.3">
      <c r="F436" s="4">
        <v>101.47463667633772</v>
      </c>
      <c r="G436" s="10">
        <v>435</v>
      </c>
    </row>
    <row r="437" spans="6:7" x14ac:dyDescent="0.3">
      <c r="F437" s="4">
        <v>79.752596570301378</v>
      </c>
      <c r="G437" s="3">
        <v>436</v>
      </c>
    </row>
    <row r="438" spans="6:7" x14ac:dyDescent="0.3">
      <c r="F438" s="4">
        <v>78.82724043181635</v>
      </c>
      <c r="G438" s="10">
        <v>437</v>
      </c>
    </row>
    <row r="439" spans="6:7" x14ac:dyDescent="0.3">
      <c r="F439" s="4">
        <v>106.05991127154816</v>
      </c>
      <c r="G439" s="3">
        <v>438</v>
      </c>
    </row>
    <row r="440" spans="6:7" x14ac:dyDescent="0.3">
      <c r="F440" s="4">
        <v>87.766213137013935</v>
      </c>
      <c r="G440" s="10">
        <v>439</v>
      </c>
    </row>
    <row r="441" spans="6:7" x14ac:dyDescent="0.3">
      <c r="F441" s="4">
        <v>124.46669565766273</v>
      </c>
      <c r="G441" s="3">
        <v>440</v>
      </c>
    </row>
    <row r="442" spans="6:7" x14ac:dyDescent="0.3">
      <c r="F442" s="4">
        <v>83.715430820741929</v>
      </c>
      <c r="G442" s="10">
        <v>441</v>
      </c>
    </row>
    <row r="443" spans="6:7" x14ac:dyDescent="0.3">
      <c r="F443" s="4">
        <v>168.63981099583845</v>
      </c>
      <c r="G443" s="3">
        <v>442</v>
      </c>
    </row>
    <row r="444" spans="6:7" x14ac:dyDescent="0.3">
      <c r="F444" s="4">
        <v>81.043332196114406</v>
      </c>
      <c r="G444" s="10">
        <v>443</v>
      </c>
    </row>
    <row r="445" spans="6:7" x14ac:dyDescent="0.3">
      <c r="F445" s="4">
        <v>83.627484911222666</v>
      </c>
      <c r="G445" s="3">
        <v>444</v>
      </c>
    </row>
    <row r="446" spans="6:7" x14ac:dyDescent="0.3">
      <c r="F446" s="4">
        <v>90.994784575571643</v>
      </c>
      <c r="G446" s="10">
        <v>445</v>
      </c>
    </row>
    <row r="447" spans="6:7" x14ac:dyDescent="0.3">
      <c r="F447" s="4">
        <v>105.63218802884701</v>
      </c>
      <c r="G447" s="3">
        <v>446</v>
      </c>
    </row>
    <row r="448" spans="6:7" x14ac:dyDescent="0.3">
      <c r="F448" s="4">
        <v>103.23920912753319</v>
      </c>
      <c r="G448" s="10">
        <v>447</v>
      </c>
    </row>
    <row r="449" spans="6:7" x14ac:dyDescent="0.3">
      <c r="F449" s="4">
        <v>116.08278723024195</v>
      </c>
      <c r="G449" s="3">
        <v>448</v>
      </c>
    </row>
    <row r="450" spans="6:7" x14ac:dyDescent="0.3">
      <c r="F450" s="4">
        <v>79.190910829707192</v>
      </c>
      <c r="G450" s="10">
        <v>449</v>
      </c>
    </row>
    <row r="451" spans="6:7" x14ac:dyDescent="0.3">
      <c r="F451" s="4">
        <v>115.12515739173102</v>
      </c>
      <c r="G451" s="3">
        <v>450</v>
      </c>
    </row>
    <row r="452" spans="6:7" x14ac:dyDescent="0.3">
      <c r="F452" s="4">
        <v>79.954143539921247</v>
      </c>
      <c r="G452" s="10">
        <v>451</v>
      </c>
    </row>
    <row r="453" spans="6:7" x14ac:dyDescent="0.3">
      <c r="F453" s="4">
        <v>108.57529732703387</v>
      </c>
      <c r="G453" s="3">
        <v>452</v>
      </c>
    </row>
    <row r="454" spans="6:7" x14ac:dyDescent="0.3">
      <c r="F454" s="4">
        <v>100.99616939836844</v>
      </c>
      <c r="G454" s="10">
        <v>453</v>
      </c>
    </row>
    <row r="455" spans="6:7" x14ac:dyDescent="0.3">
      <c r="F455" s="4">
        <v>80.788513134264534</v>
      </c>
      <c r="G455" s="3">
        <v>454</v>
      </c>
    </row>
    <row r="456" spans="6:7" x14ac:dyDescent="0.3">
      <c r="F456" s="4">
        <v>92.290212402437675</v>
      </c>
      <c r="G456" s="10">
        <v>455</v>
      </c>
    </row>
    <row r="457" spans="6:7" x14ac:dyDescent="0.3">
      <c r="F457" s="4">
        <v>149.46861860811779</v>
      </c>
      <c r="G457" s="3">
        <v>456</v>
      </c>
    </row>
    <row r="458" spans="6:7" x14ac:dyDescent="0.3">
      <c r="F458" s="4">
        <v>90.604888097693248</v>
      </c>
      <c r="G458" s="10">
        <v>457</v>
      </c>
    </row>
    <row r="459" spans="6:7" x14ac:dyDescent="0.3">
      <c r="F459" s="4">
        <v>109.69089825541792</v>
      </c>
      <c r="G459" s="3">
        <v>458</v>
      </c>
    </row>
    <row r="460" spans="6:7" x14ac:dyDescent="0.3">
      <c r="F460" s="4">
        <v>80.56920045448264</v>
      </c>
      <c r="G460" s="10">
        <v>459</v>
      </c>
    </row>
    <row r="461" spans="6:7" x14ac:dyDescent="0.3">
      <c r="F461" s="4">
        <v>80.398914968991804</v>
      </c>
      <c r="G461" s="3">
        <v>460</v>
      </c>
    </row>
    <row r="462" spans="6:7" x14ac:dyDescent="0.3">
      <c r="F462" s="4">
        <v>115.85519214941122</v>
      </c>
      <c r="G462" s="10">
        <v>461</v>
      </c>
    </row>
    <row r="463" spans="6:7" x14ac:dyDescent="0.3">
      <c r="F463" s="4">
        <v>132.33281843266155</v>
      </c>
      <c r="G463" s="3">
        <v>462</v>
      </c>
    </row>
    <row r="464" spans="6:7" x14ac:dyDescent="0.3">
      <c r="F464" s="4">
        <v>96.869138353419842</v>
      </c>
      <c r="G464" s="10">
        <v>463</v>
      </c>
    </row>
    <row r="465" spans="6:7" x14ac:dyDescent="0.3">
      <c r="F465" s="4">
        <v>82.088631604900939</v>
      </c>
      <c r="G465" s="3">
        <v>464</v>
      </c>
    </row>
    <row r="466" spans="6:7" x14ac:dyDescent="0.3">
      <c r="F466" s="4">
        <v>84.147333423268364</v>
      </c>
      <c r="G466" s="10">
        <v>465</v>
      </c>
    </row>
    <row r="467" spans="6:7" x14ac:dyDescent="0.3">
      <c r="F467" s="4">
        <v>96.563125980700192</v>
      </c>
      <c r="G467" s="3">
        <v>466</v>
      </c>
    </row>
    <row r="468" spans="6:7" x14ac:dyDescent="0.3">
      <c r="F468" s="4">
        <v>130.28706881581877</v>
      </c>
      <c r="G468" s="10">
        <v>467</v>
      </c>
    </row>
    <row r="469" spans="6:7" x14ac:dyDescent="0.3">
      <c r="F469" s="4">
        <v>80.959863637830537</v>
      </c>
      <c r="G469" s="3">
        <v>468</v>
      </c>
    </row>
    <row r="470" spans="6:7" x14ac:dyDescent="0.3">
      <c r="F470" s="4">
        <v>112.66847581598915</v>
      </c>
      <c r="G470" s="10">
        <v>469</v>
      </c>
    </row>
    <row r="471" spans="6:7" x14ac:dyDescent="0.3">
      <c r="F471" s="4">
        <v>79.749288399534478</v>
      </c>
      <c r="G471" s="3">
        <v>470</v>
      </c>
    </row>
    <row r="472" spans="6:7" x14ac:dyDescent="0.3">
      <c r="F472" s="4">
        <v>92.305265005314112</v>
      </c>
      <c r="G472" s="10">
        <v>471</v>
      </c>
    </row>
    <row r="473" spans="6:7" x14ac:dyDescent="0.3">
      <c r="F473" s="4">
        <v>78.873411826450038</v>
      </c>
      <c r="G473" s="3">
        <v>472</v>
      </c>
    </row>
    <row r="474" spans="6:7" x14ac:dyDescent="0.3">
      <c r="F474" s="4">
        <v>79.454250564510915</v>
      </c>
      <c r="G474" s="10">
        <v>473</v>
      </c>
    </row>
    <row r="475" spans="6:7" x14ac:dyDescent="0.3">
      <c r="F475" s="4">
        <v>79.385884025503557</v>
      </c>
      <c r="G475" s="3">
        <v>474</v>
      </c>
    </row>
    <row r="476" spans="6:7" x14ac:dyDescent="0.3">
      <c r="F476" s="4">
        <v>80.60822040986632</v>
      </c>
      <c r="G476" s="10">
        <v>475</v>
      </c>
    </row>
    <row r="477" spans="6:7" x14ac:dyDescent="0.3">
      <c r="F477" s="4">
        <v>105.97458433303066</v>
      </c>
      <c r="G477" s="3">
        <v>476</v>
      </c>
    </row>
    <row r="478" spans="6:7" x14ac:dyDescent="0.3">
      <c r="F478" s="4">
        <v>80.664466367555605</v>
      </c>
      <c r="G478" s="10">
        <v>477</v>
      </c>
    </row>
    <row r="479" spans="6:7" x14ac:dyDescent="0.3">
      <c r="F479" s="4">
        <v>180.31986454323561</v>
      </c>
      <c r="G479" s="3">
        <v>478</v>
      </c>
    </row>
    <row r="480" spans="6:7" x14ac:dyDescent="0.3">
      <c r="F480" s="4">
        <v>122.8267122258418</v>
      </c>
      <c r="G480" s="10">
        <v>479</v>
      </c>
    </row>
    <row r="481" spans="6:7" x14ac:dyDescent="0.3">
      <c r="F481" s="4">
        <v>108.36792549350862</v>
      </c>
      <c r="G481" s="3">
        <v>480</v>
      </c>
    </row>
    <row r="482" spans="6:7" x14ac:dyDescent="0.3">
      <c r="F482" s="4">
        <v>143.21121883275114</v>
      </c>
      <c r="G482" s="10">
        <v>481</v>
      </c>
    </row>
    <row r="483" spans="6:7" x14ac:dyDescent="0.3">
      <c r="F483" s="4">
        <v>79.666140709726335</v>
      </c>
      <c r="G483" s="3">
        <v>482</v>
      </c>
    </row>
    <row r="484" spans="6:7" x14ac:dyDescent="0.3">
      <c r="F484" s="4">
        <v>171.66600805439862</v>
      </c>
      <c r="G484" s="10">
        <v>483</v>
      </c>
    </row>
    <row r="485" spans="6:7" x14ac:dyDescent="0.3">
      <c r="F485" s="4">
        <v>80.455432577521222</v>
      </c>
      <c r="G485" s="3">
        <v>484</v>
      </c>
    </row>
    <row r="486" spans="6:7" x14ac:dyDescent="0.3">
      <c r="F486" s="4">
        <v>81.812986094307661</v>
      </c>
      <c r="G486" s="10">
        <v>485</v>
      </c>
    </row>
    <row r="487" spans="6:7" x14ac:dyDescent="0.3">
      <c r="F487" s="4">
        <v>116.88191821630498</v>
      </c>
      <c r="G487" s="3">
        <v>486</v>
      </c>
    </row>
    <row r="488" spans="6:7" x14ac:dyDescent="0.3">
      <c r="F488" s="4">
        <v>200.55124482368703</v>
      </c>
      <c r="G488" s="10">
        <v>487</v>
      </c>
    </row>
    <row r="489" spans="6:7" x14ac:dyDescent="0.3">
      <c r="F489" s="4">
        <v>126.37799778094961</v>
      </c>
      <c r="G489" s="3">
        <v>488</v>
      </c>
    </row>
    <row r="490" spans="6:7" x14ac:dyDescent="0.3">
      <c r="F490" s="4">
        <v>95.739434589868324</v>
      </c>
      <c r="G490" s="10">
        <v>489</v>
      </c>
    </row>
    <row r="491" spans="6:7" x14ac:dyDescent="0.3">
      <c r="F491" s="4">
        <v>96.231255498142829</v>
      </c>
      <c r="G491" s="3">
        <v>490</v>
      </c>
    </row>
    <row r="492" spans="6:7" x14ac:dyDescent="0.3">
      <c r="F492" s="4">
        <v>79.416945694467842</v>
      </c>
      <c r="G492" s="10">
        <v>491</v>
      </c>
    </row>
    <row r="493" spans="6:7" x14ac:dyDescent="0.3">
      <c r="F493" s="4">
        <v>116.19603336943405</v>
      </c>
      <c r="G493" s="3">
        <v>492</v>
      </c>
    </row>
    <row r="494" spans="6:7" x14ac:dyDescent="0.3">
      <c r="F494" s="4">
        <v>91.844343425176376</v>
      </c>
      <c r="G494" s="10">
        <v>493</v>
      </c>
    </row>
    <row r="495" spans="6:7" x14ac:dyDescent="0.3">
      <c r="F495" s="4">
        <v>105.45799068444521</v>
      </c>
      <c r="G495" s="3">
        <v>494</v>
      </c>
    </row>
    <row r="496" spans="6:7" x14ac:dyDescent="0.3">
      <c r="F496" s="4">
        <v>97.377706775864937</v>
      </c>
      <c r="G496" s="10">
        <v>495</v>
      </c>
    </row>
    <row r="497" spans="6:7" x14ac:dyDescent="0.3">
      <c r="F497" s="4">
        <v>111.27679512115785</v>
      </c>
      <c r="G497" s="3">
        <v>496</v>
      </c>
    </row>
    <row r="498" spans="6:7" x14ac:dyDescent="0.3">
      <c r="F498" s="4">
        <v>96.862764281969646</v>
      </c>
      <c r="G498" s="10">
        <v>497</v>
      </c>
    </row>
    <row r="499" spans="6:7" x14ac:dyDescent="0.3">
      <c r="F499" s="4">
        <v>88.952495802885196</v>
      </c>
      <c r="G499" s="3">
        <v>498</v>
      </c>
    </row>
    <row r="500" spans="6:7" x14ac:dyDescent="0.3">
      <c r="F500" s="4">
        <v>97.047195215602486</v>
      </c>
      <c r="G500" s="10">
        <v>499</v>
      </c>
    </row>
    <row r="501" spans="6:7" x14ac:dyDescent="0.3">
      <c r="F501" s="4">
        <v>95.599110316072299</v>
      </c>
      <c r="G501" s="3">
        <v>500</v>
      </c>
    </row>
    <row r="502" spans="6:7" x14ac:dyDescent="0.3">
      <c r="F502" s="4">
        <v>118.241854199801</v>
      </c>
      <c r="G502" s="10">
        <v>501</v>
      </c>
    </row>
    <row r="503" spans="6:7" x14ac:dyDescent="0.3">
      <c r="F503" s="4">
        <v>107.98864877284348</v>
      </c>
      <c r="G503" s="3">
        <v>502</v>
      </c>
    </row>
    <row r="504" spans="6:7" x14ac:dyDescent="0.3">
      <c r="F504" s="4">
        <v>80.748307931532452</v>
      </c>
      <c r="G504" s="10">
        <v>503</v>
      </c>
    </row>
    <row r="505" spans="6:7" x14ac:dyDescent="0.3">
      <c r="F505" s="4">
        <v>134.04763305054456</v>
      </c>
      <c r="G505" s="3">
        <v>504</v>
      </c>
    </row>
    <row r="506" spans="6:7" x14ac:dyDescent="0.3">
      <c r="F506" s="4">
        <v>83.055475802647592</v>
      </c>
      <c r="G506" s="10">
        <v>505</v>
      </c>
    </row>
    <row r="507" spans="6:7" x14ac:dyDescent="0.3">
      <c r="F507" s="4">
        <v>86.470455650182586</v>
      </c>
      <c r="G507" s="3">
        <v>506</v>
      </c>
    </row>
    <row r="508" spans="6:7" x14ac:dyDescent="0.3">
      <c r="F508" s="4">
        <v>122.44270396890043</v>
      </c>
      <c r="G508" s="10">
        <v>507</v>
      </c>
    </row>
    <row r="509" spans="6:7" x14ac:dyDescent="0.3">
      <c r="F509" s="4">
        <v>94.240153143969508</v>
      </c>
      <c r="G509" s="3">
        <v>508</v>
      </c>
    </row>
    <row r="510" spans="6:7" x14ac:dyDescent="0.3">
      <c r="F510" s="4">
        <v>99.515570804133304</v>
      </c>
      <c r="G510" s="10">
        <v>509</v>
      </c>
    </row>
    <row r="511" spans="6:7" x14ac:dyDescent="0.3">
      <c r="F511" s="4">
        <v>80.460132602150182</v>
      </c>
      <c r="G511" s="3">
        <v>510</v>
      </c>
    </row>
    <row r="512" spans="6:7" x14ac:dyDescent="0.3">
      <c r="F512" s="4">
        <v>79.996279354051055</v>
      </c>
      <c r="G512" s="10">
        <v>511</v>
      </c>
    </row>
    <row r="513" spans="6:7" x14ac:dyDescent="0.3">
      <c r="F513" s="4">
        <v>135.33445443673725</v>
      </c>
      <c r="G513" s="3">
        <v>512</v>
      </c>
    </row>
    <row r="514" spans="6:7" x14ac:dyDescent="0.3">
      <c r="F514" s="4">
        <v>79.565731363696116</v>
      </c>
      <c r="G514" s="10">
        <v>513</v>
      </c>
    </row>
    <row r="515" spans="6:7" x14ac:dyDescent="0.3">
      <c r="F515" s="4">
        <v>120.5033366078835</v>
      </c>
      <c r="G515" s="3">
        <v>514</v>
      </c>
    </row>
    <row r="516" spans="6:7" x14ac:dyDescent="0.3">
      <c r="F516" s="4">
        <v>103.64293621004374</v>
      </c>
      <c r="G516" s="10">
        <v>515</v>
      </c>
    </row>
    <row r="517" spans="6:7" x14ac:dyDescent="0.3">
      <c r="F517" s="4">
        <v>82.067098075919091</v>
      </c>
      <c r="G517" s="3">
        <v>516</v>
      </c>
    </row>
    <row r="518" spans="6:7" x14ac:dyDescent="0.3">
      <c r="F518" s="4">
        <v>79.695069582935034</v>
      </c>
      <c r="G518" s="10">
        <v>517</v>
      </c>
    </row>
    <row r="519" spans="6:7" x14ac:dyDescent="0.3">
      <c r="F519" s="4">
        <v>137.9354356982511</v>
      </c>
      <c r="G519" s="3">
        <v>518</v>
      </c>
    </row>
    <row r="520" spans="6:7" x14ac:dyDescent="0.3">
      <c r="F520" s="4">
        <v>109.24438152409611</v>
      </c>
      <c r="G520" s="10">
        <v>519</v>
      </c>
    </row>
    <row r="521" spans="6:7" x14ac:dyDescent="0.3">
      <c r="F521" s="4">
        <v>102.68132945712229</v>
      </c>
      <c r="G521" s="3">
        <v>520</v>
      </c>
    </row>
    <row r="522" spans="6:7" x14ac:dyDescent="0.3">
      <c r="F522" s="4">
        <v>122.80595330132432</v>
      </c>
      <c r="G522" s="10">
        <v>521</v>
      </c>
    </row>
    <row r="523" spans="6:7" x14ac:dyDescent="0.3">
      <c r="F523" s="4">
        <v>88.886160435066103</v>
      </c>
      <c r="G523" s="3">
        <v>522</v>
      </c>
    </row>
    <row r="524" spans="6:7" x14ac:dyDescent="0.3">
      <c r="F524" s="4">
        <v>119.56447319265054</v>
      </c>
      <c r="G524" s="10">
        <v>523</v>
      </c>
    </row>
    <row r="525" spans="6:7" x14ac:dyDescent="0.3">
      <c r="F525" s="4">
        <v>183.77247774963908</v>
      </c>
      <c r="G525" s="3">
        <v>524</v>
      </c>
    </row>
    <row r="526" spans="6:7" x14ac:dyDescent="0.3">
      <c r="F526" s="4">
        <v>79.564603751520863</v>
      </c>
      <c r="G526" s="10">
        <v>525</v>
      </c>
    </row>
    <row r="527" spans="6:7" x14ac:dyDescent="0.3">
      <c r="F527" s="4">
        <v>101.64783283056397</v>
      </c>
      <c r="G527" s="3">
        <v>526</v>
      </c>
    </row>
    <row r="528" spans="6:7" x14ac:dyDescent="0.3">
      <c r="F528" s="4">
        <v>148.74183909548171</v>
      </c>
      <c r="G528" s="10">
        <v>527</v>
      </c>
    </row>
    <row r="529" spans="6:7" x14ac:dyDescent="0.3">
      <c r="F529" s="4">
        <v>135.09973082395456</v>
      </c>
      <c r="G529" s="3">
        <v>528</v>
      </c>
    </row>
    <row r="530" spans="6:7" x14ac:dyDescent="0.3">
      <c r="F530" s="4">
        <v>90.046197461423077</v>
      </c>
      <c r="G530" s="10">
        <v>529</v>
      </c>
    </row>
    <row r="531" spans="6:7" x14ac:dyDescent="0.3">
      <c r="F531" s="4">
        <v>97.911141879242308</v>
      </c>
      <c r="G531" s="3">
        <v>530</v>
      </c>
    </row>
    <row r="532" spans="6:7" x14ac:dyDescent="0.3">
      <c r="F532" s="4">
        <v>125.22321873355067</v>
      </c>
      <c r="G532" s="10">
        <v>531</v>
      </c>
    </row>
    <row r="533" spans="6:7" x14ac:dyDescent="0.3">
      <c r="F533" s="4">
        <v>82.177704329051622</v>
      </c>
      <c r="G533" s="3">
        <v>532</v>
      </c>
    </row>
    <row r="534" spans="6:7" x14ac:dyDescent="0.3">
      <c r="F534" s="4">
        <v>135.61905150270832</v>
      </c>
      <c r="G534" s="10">
        <v>533</v>
      </c>
    </row>
    <row r="535" spans="6:7" x14ac:dyDescent="0.3">
      <c r="F535" s="4">
        <v>92.67406982214986</v>
      </c>
      <c r="G535" s="3">
        <v>534</v>
      </c>
    </row>
    <row r="536" spans="6:7" x14ac:dyDescent="0.3">
      <c r="F536" s="4">
        <v>89.398005829780359</v>
      </c>
      <c r="G536" s="10">
        <v>535</v>
      </c>
    </row>
    <row r="537" spans="6:7" x14ac:dyDescent="0.3">
      <c r="F537" s="4">
        <v>107.54149074403956</v>
      </c>
      <c r="G537" s="3">
        <v>536</v>
      </c>
    </row>
    <row r="538" spans="6:7" x14ac:dyDescent="0.3">
      <c r="F538" s="4">
        <v>80.304001386770423</v>
      </c>
      <c r="G538" s="10">
        <v>537</v>
      </c>
    </row>
    <row r="539" spans="6:7" x14ac:dyDescent="0.3">
      <c r="F539" s="4">
        <v>109.18009489667458</v>
      </c>
      <c r="G539" s="3">
        <v>538</v>
      </c>
    </row>
    <row r="540" spans="6:7" x14ac:dyDescent="0.3">
      <c r="F540" s="4">
        <v>85.397315029328439</v>
      </c>
      <c r="G540" s="10">
        <v>539</v>
      </c>
    </row>
    <row r="541" spans="6:7" x14ac:dyDescent="0.3">
      <c r="F541" s="4">
        <v>138.92064072853526</v>
      </c>
      <c r="G541" s="3">
        <v>540</v>
      </c>
    </row>
    <row r="542" spans="6:7" x14ac:dyDescent="0.3">
      <c r="F542" s="4">
        <v>111.2682311808083</v>
      </c>
      <c r="G542" s="10">
        <v>541</v>
      </c>
    </row>
    <row r="543" spans="6:7" x14ac:dyDescent="0.3">
      <c r="F543" s="4">
        <v>126.94403018188937</v>
      </c>
      <c r="G543" s="3">
        <v>542</v>
      </c>
    </row>
    <row r="544" spans="6:7" x14ac:dyDescent="0.3">
      <c r="F544" s="4">
        <v>124.2450297891684</v>
      </c>
      <c r="G544" s="10">
        <v>543</v>
      </c>
    </row>
    <row r="545" spans="6:7" x14ac:dyDescent="0.3">
      <c r="F545" s="4">
        <v>121.23580511530272</v>
      </c>
      <c r="G545" s="3">
        <v>544</v>
      </c>
    </row>
    <row r="546" spans="6:7" x14ac:dyDescent="0.3">
      <c r="F546" s="4">
        <v>96.572585853740591</v>
      </c>
      <c r="G546" s="10">
        <v>545</v>
      </c>
    </row>
    <row r="547" spans="6:7" x14ac:dyDescent="0.3">
      <c r="F547" s="4">
        <v>79.49701366289257</v>
      </c>
      <c r="G547" s="3">
        <v>546</v>
      </c>
    </row>
    <row r="548" spans="6:7" x14ac:dyDescent="0.3">
      <c r="F548" s="4">
        <v>80.267901356904986</v>
      </c>
      <c r="G548" s="10">
        <v>547</v>
      </c>
    </row>
    <row r="549" spans="6:7" x14ac:dyDescent="0.3">
      <c r="F549" s="4">
        <v>146.19189708497163</v>
      </c>
      <c r="G549" s="3">
        <v>548</v>
      </c>
    </row>
    <row r="550" spans="6:7" x14ac:dyDescent="0.3">
      <c r="F550" s="4">
        <v>79.672330621908628</v>
      </c>
      <c r="G550" s="10">
        <v>549</v>
      </c>
    </row>
    <row r="551" spans="6:7" x14ac:dyDescent="0.3">
      <c r="F551" s="4">
        <v>82.256032208383104</v>
      </c>
      <c r="G551" s="3">
        <v>550</v>
      </c>
    </row>
    <row r="552" spans="6:7" x14ac:dyDescent="0.3">
      <c r="F552" s="4">
        <v>131.63806202958133</v>
      </c>
      <c r="G552" s="10">
        <v>551</v>
      </c>
    </row>
    <row r="553" spans="6:7" x14ac:dyDescent="0.3">
      <c r="F553" s="4">
        <v>108.16148566892043</v>
      </c>
      <c r="G553" s="3">
        <v>552</v>
      </c>
    </row>
    <row r="554" spans="6:7" x14ac:dyDescent="0.3">
      <c r="F554" s="4">
        <v>79.496816634229049</v>
      </c>
      <c r="G554" s="10">
        <v>553</v>
      </c>
    </row>
    <row r="555" spans="6:7" x14ac:dyDescent="0.3">
      <c r="F555" s="4">
        <v>79.759509281252207</v>
      </c>
      <c r="G555" s="3">
        <v>554</v>
      </c>
    </row>
    <row r="556" spans="6:7" x14ac:dyDescent="0.3">
      <c r="F556" s="4">
        <v>79.929275162653084</v>
      </c>
      <c r="G556" s="10">
        <v>555</v>
      </c>
    </row>
    <row r="557" spans="6:7" x14ac:dyDescent="0.3">
      <c r="F557" s="4">
        <v>171.42538550301467</v>
      </c>
      <c r="G557" s="3">
        <v>556</v>
      </c>
    </row>
    <row r="558" spans="6:7" x14ac:dyDescent="0.3">
      <c r="F558" s="4">
        <v>99.523954866812659</v>
      </c>
      <c r="G558" s="10">
        <v>557</v>
      </c>
    </row>
    <row r="559" spans="6:7" x14ac:dyDescent="0.3">
      <c r="F559" s="4">
        <v>175.91788307873929</v>
      </c>
      <c r="G559" s="3">
        <v>558</v>
      </c>
    </row>
    <row r="560" spans="6:7" x14ac:dyDescent="0.3">
      <c r="F560" s="4">
        <v>158.17325788139922</v>
      </c>
      <c r="G560" s="10">
        <v>559</v>
      </c>
    </row>
    <row r="561" spans="6:7" x14ac:dyDescent="0.3">
      <c r="F561" s="4">
        <v>95.192665481534164</v>
      </c>
      <c r="G561" s="3">
        <v>560</v>
      </c>
    </row>
    <row r="562" spans="6:7" x14ac:dyDescent="0.3">
      <c r="F562" s="4">
        <v>79.025551303143459</v>
      </c>
      <c r="G562" s="10">
        <v>561</v>
      </c>
    </row>
    <row r="563" spans="6:7" x14ac:dyDescent="0.3">
      <c r="F563" s="4">
        <v>157.19117046349513</v>
      </c>
      <c r="G563" s="3">
        <v>562</v>
      </c>
    </row>
    <row r="564" spans="6:7" x14ac:dyDescent="0.3">
      <c r="F564" s="4">
        <v>120.28100270336147</v>
      </c>
      <c r="G564" s="10">
        <v>563</v>
      </c>
    </row>
    <row r="565" spans="6:7" x14ac:dyDescent="0.3">
      <c r="F565" s="4">
        <v>183.70290446632677</v>
      </c>
      <c r="G565" s="3">
        <v>564</v>
      </c>
    </row>
    <row r="566" spans="6:7" x14ac:dyDescent="0.3">
      <c r="F566" s="4">
        <v>182.96505170155859</v>
      </c>
      <c r="G566" s="10">
        <v>565</v>
      </c>
    </row>
    <row r="567" spans="6:7" x14ac:dyDescent="0.3">
      <c r="F567" s="4">
        <v>112.17478815774075</v>
      </c>
      <c r="G567" s="3">
        <v>566</v>
      </c>
    </row>
    <row r="568" spans="6:7" x14ac:dyDescent="0.3">
      <c r="F568" s="4">
        <v>87.802395286053795</v>
      </c>
      <c r="G568" s="10">
        <v>567</v>
      </c>
    </row>
    <row r="569" spans="6:7" x14ac:dyDescent="0.3">
      <c r="F569" s="4">
        <v>114.90700963409658</v>
      </c>
      <c r="G569" s="3">
        <v>568</v>
      </c>
    </row>
    <row r="570" spans="6:7" x14ac:dyDescent="0.3">
      <c r="F570" s="4">
        <v>118.18635110137849</v>
      </c>
      <c r="G570" s="10">
        <v>569</v>
      </c>
    </row>
    <row r="571" spans="6:7" x14ac:dyDescent="0.3">
      <c r="F571" s="4">
        <v>123.66901061331616</v>
      </c>
      <c r="G571" s="3">
        <v>570</v>
      </c>
    </row>
    <row r="572" spans="6:7" x14ac:dyDescent="0.3">
      <c r="F572" s="4">
        <v>85.714211338741435</v>
      </c>
      <c r="G572" s="10">
        <v>571</v>
      </c>
    </row>
    <row r="573" spans="6:7" x14ac:dyDescent="0.3">
      <c r="F573" s="4">
        <v>80.697583148407901</v>
      </c>
      <c r="G573" s="3">
        <v>572</v>
      </c>
    </row>
    <row r="574" spans="6:7" x14ac:dyDescent="0.3">
      <c r="F574" s="4">
        <v>129.13720786112285</v>
      </c>
      <c r="G574" s="10">
        <v>573</v>
      </c>
    </row>
    <row r="575" spans="6:7" x14ac:dyDescent="0.3">
      <c r="F575" s="4">
        <v>117.31919134503207</v>
      </c>
      <c r="G575" s="3">
        <v>574</v>
      </c>
    </row>
    <row r="576" spans="6:7" x14ac:dyDescent="0.3">
      <c r="F576" s="4">
        <v>80.054442739581361</v>
      </c>
      <c r="G576" s="10">
        <v>575</v>
      </c>
    </row>
    <row r="577" spans="6:7" x14ac:dyDescent="0.3">
      <c r="F577" s="4">
        <v>84.74793929698113</v>
      </c>
      <c r="G577" s="3">
        <v>576</v>
      </c>
    </row>
    <row r="578" spans="6:7" x14ac:dyDescent="0.3">
      <c r="F578" s="4">
        <v>209.68530590100042</v>
      </c>
      <c r="G578" s="10">
        <v>577</v>
      </c>
    </row>
    <row r="579" spans="6:7" x14ac:dyDescent="0.3">
      <c r="F579" s="4">
        <v>80.40261443301884</v>
      </c>
      <c r="G579" s="3">
        <v>578</v>
      </c>
    </row>
    <row r="580" spans="6:7" x14ac:dyDescent="0.3">
      <c r="F580" s="4">
        <v>174.4815420740544</v>
      </c>
      <c r="G580" s="10">
        <v>579</v>
      </c>
    </row>
    <row r="581" spans="6:7" x14ac:dyDescent="0.3">
      <c r="F581" s="4">
        <v>94.658599587406584</v>
      </c>
      <c r="G581" s="3">
        <v>580</v>
      </c>
    </row>
    <row r="582" spans="6:7" x14ac:dyDescent="0.3">
      <c r="F582" s="4">
        <v>79.649324405368162</v>
      </c>
      <c r="G582" s="10">
        <v>581</v>
      </c>
    </row>
    <row r="583" spans="6:7" x14ac:dyDescent="0.3">
      <c r="F583" s="4">
        <v>89.656581090063639</v>
      </c>
      <c r="G583" s="3">
        <v>582</v>
      </c>
    </row>
    <row r="584" spans="6:7" x14ac:dyDescent="0.3">
      <c r="F584" s="4">
        <v>143.51175097160888</v>
      </c>
      <c r="G584" s="10">
        <v>583</v>
      </c>
    </row>
    <row r="585" spans="6:7" x14ac:dyDescent="0.3">
      <c r="F585" s="4">
        <v>113.84079917502491</v>
      </c>
      <c r="G585" s="3">
        <v>584</v>
      </c>
    </row>
    <row r="586" spans="6:7" x14ac:dyDescent="0.3">
      <c r="F586" s="4">
        <v>125.35520514473653</v>
      </c>
      <c r="G586" s="10">
        <v>585</v>
      </c>
    </row>
    <row r="587" spans="6:7" x14ac:dyDescent="0.3">
      <c r="F587" s="4">
        <v>117.02914689263365</v>
      </c>
      <c r="G587" s="3">
        <v>586</v>
      </c>
    </row>
    <row r="588" spans="6:7" x14ac:dyDescent="0.3">
      <c r="F588" s="4">
        <v>121.80624968241403</v>
      </c>
      <c r="G588" s="10">
        <v>587</v>
      </c>
    </row>
    <row r="589" spans="6:7" x14ac:dyDescent="0.3">
      <c r="F589" s="4">
        <v>102.44116886275594</v>
      </c>
      <c r="G589" s="3">
        <v>588</v>
      </c>
    </row>
    <row r="590" spans="6:7" x14ac:dyDescent="0.3">
      <c r="F590" s="4">
        <v>84.682756023592319</v>
      </c>
      <c r="G590" s="10">
        <v>589</v>
      </c>
    </row>
    <row r="591" spans="6:7" x14ac:dyDescent="0.3">
      <c r="F591" s="4">
        <v>107.33329772699823</v>
      </c>
      <c r="G591" s="3">
        <v>590</v>
      </c>
    </row>
    <row r="592" spans="6:7" x14ac:dyDescent="0.3">
      <c r="F592" s="4">
        <v>89.533204463069083</v>
      </c>
      <c r="G592" s="10">
        <v>591</v>
      </c>
    </row>
    <row r="593" spans="6:7" x14ac:dyDescent="0.3">
      <c r="F593" s="4">
        <v>148.87539262783753</v>
      </c>
      <c r="G593" s="3">
        <v>592</v>
      </c>
    </row>
    <row r="594" spans="6:7" x14ac:dyDescent="0.3">
      <c r="F594" s="4">
        <v>80.710430340962986</v>
      </c>
      <c r="G594" s="10">
        <v>593</v>
      </c>
    </row>
    <row r="595" spans="6:7" x14ac:dyDescent="0.3">
      <c r="F595" s="4">
        <v>129.65209233641855</v>
      </c>
      <c r="G595" s="3">
        <v>594</v>
      </c>
    </row>
    <row r="596" spans="6:7" x14ac:dyDescent="0.3">
      <c r="F596" s="4">
        <v>132.21813857596891</v>
      </c>
      <c r="G596" s="10">
        <v>595</v>
      </c>
    </row>
    <row r="597" spans="6:7" x14ac:dyDescent="0.3">
      <c r="F597" s="4">
        <v>94.034392386291898</v>
      </c>
      <c r="G597" s="3">
        <v>596</v>
      </c>
    </row>
    <row r="598" spans="6:7" x14ac:dyDescent="0.3">
      <c r="F598" s="4">
        <v>78.932491007686195</v>
      </c>
      <c r="G598" s="10">
        <v>597</v>
      </c>
    </row>
    <row r="599" spans="6:7" x14ac:dyDescent="0.3">
      <c r="F599" s="4">
        <v>79.787710584435118</v>
      </c>
      <c r="G599" s="3">
        <v>598</v>
      </c>
    </row>
    <row r="600" spans="6:7" x14ac:dyDescent="0.3">
      <c r="F600" s="4">
        <v>79.57911757518913</v>
      </c>
      <c r="G600" s="10">
        <v>599</v>
      </c>
    </row>
    <row r="601" spans="6:7" x14ac:dyDescent="0.3">
      <c r="F601" s="4">
        <v>79.283400531422046</v>
      </c>
      <c r="G601" s="3">
        <v>600</v>
      </c>
    </row>
    <row r="602" spans="6:7" x14ac:dyDescent="0.3">
      <c r="F602" s="4">
        <v>114.12978890811507</v>
      </c>
      <c r="G602" s="10">
        <v>601</v>
      </c>
    </row>
    <row r="603" spans="6:7" x14ac:dyDescent="0.3">
      <c r="F603" s="4">
        <v>140.40055268016161</v>
      </c>
      <c r="G603" s="3">
        <v>602</v>
      </c>
    </row>
    <row r="604" spans="6:7" x14ac:dyDescent="0.3">
      <c r="F604" s="4">
        <v>79.773992721088959</v>
      </c>
      <c r="G604" s="10">
        <v>603</v>
      </c>
    </row>
    <row r="605" spans="6:7" x14ac:dyDescent="0.3">
      <c r="F605" s="4">
        <v>131.73164106612234</v>
      </c>
      <c r="G605" s="3">
        <v>604</v>
      </c>
    </row>
    <row r="606" spans="6:7" x14ac:dyDescent="0.3">
      <c r="F606" s="4">
        <v>135.58438438913717</v>
      </c>
      <c r="G606" s="10">
        <v>605</v>
      </c>
    </row>
    <row r="607" spans="6:7" x14ac:dyDescent="0.3">
      <c r="F607" s="4">
        <v>167.91436565066334</v>
      </c>
      <c r="G607" s="3">
        <v>606</v>
      </c>
    </row>
    <row r="608" spans="6:7" x14ac:dyDescent="0.3">
      <c r="F608" s="4">
        <v>110.83051945373489</v>
      </c>
      <c r="G608" s="10">
        <v>607</v>
      </c>
    </row>
    <row r="609" spans="6:7" x14ac:dyDescent="0.3">
      <c r="F609" s="4">
        <v>97.117914885439859</v>
      </c>
      <c r="G609" s="3">
        <v>608</v>
      </c>
    </row>
    <row r="610" spans="6:7" x14ac:dyDescent="0.3">
      <c r="F610" s="4">
        <v>139.01782242873878</v>
      </c>
      <c r="G610" s="10">
        <v>609</v>
      </c>
    </row>
    <row r="611" spans="6:7" x14ac:dyDescent="0.3">
      <c r="F611" s="4">
        <v>84.22544087881289</v>
      </c>
      <c r="G611" s="3">
        <v>610</v>
      </c>
    </row>
    <row r="612" spans="6:7" x14ac:dyDescent="0.3">
      <c r="F612" s="4">
        <v>100.70225129357037</v>
      </c>
      <c r="G612" s="10">
        <v>611</v>
      </c>
    </row>
    <row r="613" spans="6:7" x14ac:dyDescent="0.3">
      <c r="F613" s="4">
        <v>143.22707233069431</v>
      </c>
      <c r="G613" s="3">
        <v>612</v>
      </c>
    </row>
    <row r="614" spans="6:7" x14ac:dyDescent="0.3">
      <c r="F614" s="4">
        <v>80.94063836495647</v>
      </c>
      <c r="G614" s="10">
        <v>613</v>
      </c>
    </row>
    <row r="615" spans="6:7" x14ac:dyDescent="0.3">
      <c r="F615" s="4">
        <v>89.96757751917778</v>
      </c>
      <c r="G615" s="3">
        <v>614</v>
      </c>
    </row>
    <row r="616" spans="6:7" x14ac:dyDescent="0.3">
      <c r="F616" s="4">
        <v>144.73645036188941</v>
      </c>
      <c r="G616" s="10">
        <v>615</v>
      </c>
    </row>
    <row r="617" spans="6:7" x14ac:dyDescent="0.3">
      <c r="F617" s="4">
        <v>157.63875494210848</v>
      </c>
      <c r="G617" s="3">
        <v>616</v>
      </c>
    </row>
    <row r="618" spans="6:7" x14ac:dyDescent="0.3">
      <c r="F618" s="4">
        <v>113.55073112311486</v>
      </c>
      <c r="G618" s="10">
        <v>617</v>
      </c>
    </row>
    <row r="619" spans="6:7" x14ac:dyDescent="0.3">
      <c r="F619" s="4">
        <v>83.497728847070618</v>
      </c>
      <c r="G619" s="3">
        <v>618</v>
      </c>
    </row>
    <row r="620" spans="6:7" x14ac:dyDescent="0.3">
      <c r="F620" s="4">
        <v>97.003478356479746</v>
      </c>
      <c r="G620" s="10">
        <v>619</v>
      </c>
    </row>
    <row r="621" spans="6:7" x14ac:dyDescent="0.3">
      <c r="F621" s="4">
        <v>79.825367934781454</v>
      </c>
      <c r="G621" s="3">
        <v>620</v>
      </c>
    </row>
    <row r="622" spans="6:7" x14ac:dyDescent="0.3">
      <c r="F622" s="4">
        <v>146.81384858030819</v>
      </c>
      <c r="G622" s="10">
        <v>621</v>
      </c>
    </row>
    <row r="623" spans="6:7" x14ac:dyDescent="0.3">
      <c r="F623" s="4">
        <v>140.13308912308889</v>
      </c>
      <c r="G623" s="3">
        <v>622</v>
      </c>
    </row>
    <row r="624" spans="6:7" x14ac:dyDescent="0.3">
      <c r="F624" s="4">
        <v>165.48061748150963</v>
      </c>
      <c r="G624" s="10">
        <v>623</v>
      </c>
    </row>
    <row r="625" spans="6:7" x14ac:dyDescent="0.3">
      <c r="F625" s="4">
        <v>84.041911611539348</v>
      </c>
      <c r="G625" s="3">
        <v>624</v>
      </c>
    </row>
    <row r="626" spans="6:7" x14ac:dyDescent="0.3">
      <c r="F626" s="4">
        <v>79.392537095590782</v>
      </c>
      <c r="G626" s="10">
        <v>625</v>
      </c>
    </row>
    <row r="627" spans="6:7" x14ac:dyDescent="0.3">
      <c r="F627" s="4">
        <v>80.095879649811678</v>
      </c>
      <c r="G627" s="3">
        <v>626</v>
      </c>
    </row>
    <row r="628" spans="6:7" x14ac:dyDescent="0.3">
      <c r="F628" s="4">
        <v>157.51866165588669</v>
      </c>
      <c r="G628" s="10">
        <v>627</v>
      </c>
    </row>
    <row r="629" spans="6:7" x14ac:dyDescent="0.3">
      <c r="F629" s="4">
        <v>97.102879898592974</v>
      </c>
      <c r="G629" s="3">
        <v>628</v>
      </c>
    </row>
    <row r="630" spans="6:7" x14ac:dyDescent="0.3">
      <c r="F630" s="4">
        <v>80.235577542005814</v>
      </c>
      <c r="G630" s="10">
        <v>629</v>
      </c>
    </row>
    <row r="631" spans="6:7" x14ac:dyDescent="0.3">
      <c r="F631" s="4">
        <v>80.612507289442348</v>
      </c>
      <c r="G631" s="3">
        <v>630</v>
      </c>
    </row>
    <row r="632" spans="6:7" x14ac:dyDescent="0.3">
      <c r="F632" s="4">
        <v>78.688413041748973</v>
      </c>
      <c r="G632" s="10">
        <v>631</v>
      </c>
    </row>
    <row r="633" spans="6:7" x14ac:dyDescent="0.3">
      <c r="F633" s="4">
        <v>133.61427921053328</v>
      </c>
      <c r="G633" s="3">
        <v>632</v>
      </c>
    </row>
    <row r="634" spans="6:7" x14ac:dyDescent="0.3">
      <c r="F634" s="4">
        <v>117.6752569472369</v>
      </c>
      <c r="G634" s="10">
        <v>633</v>
      </c>
    </row>
    <row r="635" spans="6:7" x14ac:dyDescent="0.3">
      <c r="F635" s="4">
        <v>100.7067619029601</v>
      </c>
      <c r="G635" s="3">
        <v>634</v>
      </c>
    </row>
    <row r="636" spans="6:7" x14ac:dyDescent="0.3">
      <c r="F636" s="4">
        <v>126.17277396304014</v>
      </c>
      <c r="G636" s="10">
        <v>635</v>
      </c>
    </row>
    <row r="637" spans="6:7" x14ac:dyDescent="0.3">
      <c r="F637" s="4">
        <v>104.87701459379106</v>
      </c>
      <c r="G637" s="3">
        <v>636</v>
      </c>
    </row>
    <row r="638" spans="6:7" x14ac:dyDescent="0.3">
      <c r="F638" s="4">
        <v>132.17182639145977</v>
      </c>
      <c r="G638" s="10">
        <v>637</v>
      </c>
    </row>
    <row r="639" spans="6:7" x14ac:dyDescent="0.3">
      <c r="F639" s="4">
        <v>110.1819968822047</v>
      </c>
      <c r="G639" s="3">
        <v>638</v>
      </c>
    </row>
    <row r="640" spans="6:7" x14ac:dyDescent="0.3">
      <c r="F640" s="4">
        <v>80.683529821111151</v>
      </c>
      <c r="G640" s="10">
        <v>639</v>
      </c>
    </row>
    <row r="641" spans="6:7" x14ac:dyDescent="0.3">
      <c r="F641" s="4">
        <v>135.99590007361317</v>
      </c>
      <c r="G641" s="3">
        <v>640</v>
      </c>
    </row>
    <row r="642" spans="6:7" x14ac:dyDescent="0.3">
      <c r="F642" s="4">
        <v>91.724446795692174</v>
      </c>
      <c r="G642" s="10">
        <v>641</v>
      </c>
    </row>
    <row r="643" spans="6:7" x14ac:dyDescent="0.3">
      <c r="F643" s="4">
        <v>88.106036066987159</v>
      </c>
      <c r="G643" s="3">
        <v>642</v>
      </c>
    </row>
    <row r="644" spans="6:7" x14ac:dyDescent="0.3">
      <c r="F644" s="4">
        <v>169.03205464339075</v>
      </c>
      <c r="G644" s="10">
        <v>643</v>
      </c>
    </row>
    <row r="645" spans="6:7" x14ac:dyDescent="0.3">
      <c r="F645" s="4">
        <v>122.13212883726936</v>
      </c>
      <c r="G645" s="3">
        <v>644</v>
      </c>
    </row>
    <row r="646" spans="6:7" x14ac:dyDescent="0.3">
      <c r="F646" s="4">
        <v>80.274246847790877</v>
      </c>
      <c r="G646" s="10">
        <v>645</v>
      </c>
    </row>
    <row r="647" spans="6:7" x14ac:dyDescent="0.3">
      <c r="F647" s="4">
        <v>80.773973617772668</v>
      </c>
      <c r="G647" s="3">
        <v>646</v>
      </c>
    </row>
    <row r="648" spans="6:7" x14ac:dyDescent="0.3">
      <c r="F648" s="4">
        <v>91.459888523929919</v>
      </c>
      <c r="G648" s="10">
        <v>647</v>
      </c>
    </row>
    <row r="649" spans="6:7" x14ac:dyDescent="0.3">
      <c r="F649" s="4">
        <v>132.16859960356024</v>
      </c>
      <c r="G649" s="3">
        <v>648</v>
      </c>
    </row>
    <row r="650" spans="6:7" x14ac:dyDescent="0.3">
      <c r="F650" s="4">
        <v>88.451295024201116</v>
      </c>
      <c r="G650" s="10">
        <v>649</v>
      </c>
    </row>
    <row r="651" spans="6:7" x14ac:dyDescent="0.3">
      <c r="F651" s="4">
        <v>83.4721278003897</v>
      </c>
      <c r="G651" s="3">
        <v>650</v>
      </c>
    </row>
    <row r="652" spans="6:7" x14ac:dyDescent="0.3">
      <c r="F652" s="4">
        <v>80.359251538788968</v>
      </c>
      <c r="G652" s="10">
        <v>651</v>
      </c>
    </row>
    <row r="653" spans="6:7" x14ac:dyDescent="0.3">
      <c r="F653" s="4">
        <v>104.26288953863174</v>
      </c>
      <c r="G653" s="3">
        <v>652</v>
      </c>
    </row>
    <row r="654" spans="6:7" x14ac:dyDescent="0.3">
      <c r="F654" s="4">
        <v>80.965034021153315</v>
      </c>
      <c r="G654" s="10">
        <v>653</v>
      </c>
    </row>
    <row r="655" spans="6:7" x14ac:dyDescent="0.3">
      <c r="F655" s="4">
        <v>80.745701267984344</v>
      </c>
      <c r="G655" s="3">
        <v>654</v>
      </c>
    </row>
    <row r="656" spans="6:7" x14ac:dyDescent="0.3">
      <c r="F656" s="4">
        <v>105.03828768501063</v>
      </c>
      <c r="G656" s="10">
        <v>655</v>
      </c>
    </row>
    <row r="657" spans="6:7" x14ac:dyDescent="0.3">
      <c r="F657" s="4">
        <v>80.222513316870234</v>
      </c>
      <c r="G657" s="3">
        <v>656</v>
      </c>
    </row>
    <row r="658" spans="6:7" x14ac:dyDescent="0.3">
      <c r="F658" s="4">
        <v>125.09956649112624</v>
      </c>
      <c r="G658" s="10">
        <v>657</v>
      </c>
    </row>
    <row r="659" spans="6:7" x14ac:dyDescent="0.3">
      <c r="F659" s="4">
        <v>116.15379894256972</v>
      </c>
      <c r="G659" s="3">
        <v>658</v>
      </c>
    </row>
    <row r="660" spans="6:7" x14ac:dyDescent="0.3">
      <c r="F660" s="4">
        <v>101.15631061279124</v>
      </c>
      <c r="G660" s="10">
        <v>659</v>
      </c>
    </row>
    <row r="661" spans="6:7" x14ac:dyDescent="0.3">
      <c r="F661" s="4">
        <v>118.64937966849176</v>
      </c>
      <c r="G661" s="3">
        <v>660</v>
      </c>
    </row>
    <row r="662" spans="6:7" x14ac:dyDescent="0.3">
      <c r="F662" s="4">
        <v>90.188548631054346</v>
      </c>
      <c r="G662" s="10">
        <v>661</v>
      </c>
    </row>
    <row r="663" spans="6:7" x14ac:dyDescent="0.3">
      <c r="F663" s="4">
        <v>103.35789810558074</v>
      </c>
      <c r="G663" s="3">
        <v>662</v>
      </c>
    </row>
    <row r="664" spans="6:7" x14ac:dyDescent="0.3">
      <c r="F664" s="4">
        <v>92.98134346259198</v>
      </c>
      <c r="G664" s="10">
        <v>663</v>
      </c>
    </row>
    <row r="665" spans="6:7" x14ac:dyDescent="0.3">
      <c r="F665" s="4">
        <v>94.329841806524371</v>
      </c>
      <c r="G665" s="3">
        <v>664</v>
      </c>
    </row>
    <row r="666" spans="6:7" x14ac:dyDescent="0.3">
      <c r="F666" s="4">
        <v>141.31962783257876</v>
      </c>
      <c r="G666" s="10">
        <v>665</v>
      </c>
    </row>
    <row r="667" spans="6:7" x14ac:dyDescent="0.3">
      <c r="F667" s="4">
        <v>131.02651551945024</v>
      </c>
      <c r="G667" s="3">
        <v>666</v>
      </c>
    </row>
    <row r="668" spans="6:7" x14ac:dyDescent="0.3">
      <c r="F668" s="4">
        <v>80.1574843622695</v>
      </c>
      <c r="G668" s="10">
        <v>667</v>
      </c>
    </row>
    <row r="669" spans="6:7" x14ac:dyDescent="0.3">
      <c r="F669" s="4">
        <v>109.58115727562136</v>
      </c>
      <c r="G669" s="3">
        <v>668</v>
      </c>
    </row>
    <row r="670" spans="6:7" x14ac:dyDescent="0.3">
      <c r="F670" s="4">
        <v>80.333189561507226</v>
      </c>
      <c r="G670" s="10">
        <v>669</v>
      </c>
    </row>
    <row r="671" spans="6:7" x14ac:dyDescent="0.3">
      <c r="F671" s="4">
        <v>118.72604441777764</v>
      </c>
      <c r="G671" s="3">
        <v>670</v>
      </c>
    </row>
    <row r="672" spans="6:7" x14ac:dyDescent="0.3">
      <c r="F672" s="4">
        <v>123.77296013750622</v>
      </c>
      <c r="G672" s="10">
        <v>671</v>
      </c>
    </row>
    <row r="673" spans="6:7" x14ac:dyDescent="0.3">
      <c r="F673" s="4">
        <v>95.89696975089214</v>
      </c>
      <c r="G673" s="3">
        <v>672</v>
      </c>
    </row>
    <row r="674" spans="6:7" x14ac:dyDescent="0.3">
      <c r="F674" s="4">
        <v>136.34906763667695</v>
      </c>
      <c r="G674" s="10">
        <v>673</v>
      </c>
    </row>
    <row r="675" spans="6:7" x14ac:dyDescent="0.3">
      <c r="F675" s="4">
        <v>80.260990819878202</v>
      </c>
      <c r="G675" s="3">
        <v>674</v>
      </c>
    </row>
    <row r="676" spans="6:7" x14ac:dyDescent="0.3">
      <c r="F676" s="4">
        <v>80.655715610492791</v>
      </c>
      <c r="G676" s="10">
        <v>675</v>
      </c>
    </row>
    <row r="677" spans="6:7" x14ac:dyDescent="0.3">
      <c r="F677" s="4">
        <v>84.718121301046281</v>
      </c>
      <c r="G677" s="3">
        <v>676</v>
      </c>
    </row>
    <row r="678" spans="6:7" x14ac:dyDescent="0.3">
      <c r="F678" s="4">
        <v>125.31149235465813</v>
      </c>
      <c r="G678" s="10">
        <v>677</v>
      </c>
    </row>
    <row r="679" spans="6:7" x14ac:dyDescent="0.3">
      <c r="F679" s="4">
        <v>123.55114665093056</v>
      </c>
      <c r="G679" s="3">
        <v>678</v>
      </c>
    </row>
    <row r="680" spans="6:7" x14ac:dyDescent="0.3">
      <c r="F680" s="4">
        <v>152.83547104985627</v>
      </c>
      <c r="G680" s="10">
        <v>679</v>
      </c>
    </row>
    <row r="681" spans="6:7" x14ac:dyDescent="0.3">
      <c r="F681" s="4">
        <v>85.023714560567399</v>
      </c>
      <c r="G681" s="3">
        <v>680</v>
      </c>
    </row>
    <row r="682" spans="6:7" x14ac:dyDescent="0.3">
      <c r="F682" s="4">
        <v>122.17326480561134</v>
      </c>
      <c r="G682" s="10">
        <v>681</v>
      </c>
    </row>
    <row r="683" spans="6:7" x14ac:dyDescent="0.3">
      <c r="F683" s="4">
        <v>79.775959210035865</v>
      </c>
      <c r="G683" s="3">
        <v>682</v>
      </c>
    </row>
    <row r="684" spans="6:7" x14ac:dyDescent="0.3">
      <c r="F684" s="4">
        <v>139.39339601397145</v>
      </c>
      <c r="G684" s="10">
        <v>683</v>
      </c>
    </row>
    <row r="685" spans="6:7" x14ac:dyDescent="0.3">
      <c r="F685" s="4">
        <v>93.614047821349629</v>
      </c>
      <c r="G685" s="3">
        <v>684</v>
      </c>
    </row>
    <row r="686" spans="6:7" x14ac:dyDescent="0.3">
      <c r="F686" s="4">
        <v>79.83623084534824</v>
      </c>
      <c r="G686" s="10">
        <v>685</v>
      </c>
    </row>
    <row r="687" spans="6:7" x14ac:dyDescent="0.3">
      <c r="F687" s="4">
        <v>104.80588622927266</v>
      </c>
      <c r="G687" s="3">
        <v>686</v>
      </c>
    </row>
    <row r="688" spans="6:7" x14ac:dyDescent="0.3">
      <c r="F688" s="4">
        <v>95.656332982310019</v>
      </c>
      <c r="G688" s="10">
        <v>687</v>
      </c>
    </row>
    <row r="689" spans="6:7" x14ac:dyDescent="0.3">
      <c r="F689" s="4">
        <v>79.769813790720477</v>
      </c>
      <c r="G689" s="3">
        <v>688</v>
      </c>
    </row>
    <row r="690" spans="6:7" x14ac:dyDescent="0.3">
      <c r="F690" s="4">
        <v>97.816699336725804</v>
      </c>
      <c r="G690" s="10">
        <v>689</v>
      </c>
    </row>
    <row r="691" spans="6:7" x14ac:dyDescent="0.3">
      <c r="F691" s="4">
        <v>132.0335396922695</v>
      </c>
      <c r="G691" s="3">
        <v>690</v>
      </c>
    </row>
    <row r="692" spans="6:7" x14ac:dyDescent="0.3">
      <c r="F692" s="4">
        <v>120.6186775658917</v>
      </c>
      <c r="G692" s="10">
        <v>691</v>
      </c>
    </row>
    <row r="693" spans="6:7" x14ac:dyDescent="0.3">
      <c r="F693" s="4">
        <v>79.659880499348205</v>
      </c>
      <c r="G693" s="3">
        <v>692</v>
      </c>
    </row>
    <row r="694" spans="6:7" x14ac:dyDescent="0.3">
      <c r="F694" s="4">
        <v>79.692952450949079</v>
      </c>
      <c r="G694" s="10">
        <v>693</v>
      </c>
    </row>
    <row r="695" spans="6:7" x14ac:dyDescent="0.3">
      <c r="F695" s="4">
        <v>101.13482190920161</v>
      </c>
      <c r="G695" s="3">
        <v>694</v>
      </c>
    </row>
    <row r="696" spans="6:7" x14ac:dyDescent="0.3">
      <c r="F696" s="4">
        <v>105.64584659004126</v>
      </c>
      <c r="G696" s="10">
        <v>695</v>
      </c>
    </row>
    <row r="697" spans="6:7" x14ac:dyDescent="0.3">
      <c r="F697" s="4">
        <v>99.727319931042345</v>
      </c>
      <c r="G697" s="3">
        <v>696</v>
      </c>
    </row>
    <row r="698" spans="6:7" x14ac:dyDescent="0.3">
      <c r="F698" s="4">
        <v>80.488189856554214</v>
      </c>
      <c r="G698" s="10">
        <v>697</v>
      </c>
    </row>
    <row r="699" spans="6:7" x14ac:dyDescent="0.3">
      <c r="F699" s="4">
        <v>95.991589476870914</v>
      </c>
      <c r="G699" s="3">
        <v>698</v>
      </c>
    </row>
    <row r="700" spans="6:7" x14ac:dyDescent="0.3">
      <c r="F700" s="4">
        <v>95.582877749613587</v>
      </c>
      <c r="G700" s="10">
        <v>699</v>
      </c>
    </row>
    <row r="701" spans="6:7" x14ac:dyDescent="0.3">
      <c r="F701" s="4">
        <v>132.10665232168103</v>
      </c>
      <c r="G701" s="3">
        <v>700</v>
      </c>
    </row>
    <row r="702" spans="6:7" x14ac:dyDescent="0.3">
      <c r="F702" s="4">
        <v>112.625851830252</v>
      </c>
      <c r="G702" s="10">
        <v>701</v>
      </c>
    </row>
    <row r="703" spans="6:7" x14ac:dyDescent="0.3">
      <c r="F703" s="4">
        <v>90.421095050541382</v>
      </c>
      <c r="G703" s="3">
        <v>702</v>
      </c>
    </row>
    <row r="704" spans="6:7" x14ac:dyDescent="0.3">
      <c r="F704" s="4">
        <v>123.87922326244451</v>
      </c>
      <c r="G704" s="10">
        <v>703</v>
      </c>
    </row>
    <row r="705" spans="6:7" x14ac:dyDescent="0.3">
      <c r="F705" s="4">
        <v>123.06294905810478</v>
      </c>
      <c r="G705" s="3">
        <v>704</v>
      </c>
    </row>
    <row r="706" spans="6:7" x14ac:dyDescent="0.3">
      <c r="F706" s="4">
        <v>82.322405041554461</v>
      </c>
      <c r="G706" s="10">
        <v>705</v>
      </c>
    </row>
    <row r="707" spans="6:7" x14ac:dyDescent="0.3">
      <c r="F707" s="4">
        <v>95.827125652175667</v>
      </c>
      <c r="G707" s="3">
        <v>706</v>
      </c>
    </row>
    <row r="708" spans="6:7" x14ac:dyDescent="0.3">
      <c r="F708" s="4">
        <v>80.519845673984577</v>
      </c>
      <c r="G708" s="10">
        <v>707</v>
      </c>
    </row>
    <row r="709" spans="6:7" x14ac:dyDescent="0.3">
      <c r="F709" s="4">
        <v>109.25781175075139</v>
      </c>
      <c r="G709" s="3">
        <v>708</v>
      </c>
    </row>
    <row r="710" spans="6:7" x14ac:dyDescent="0.3">
      <c r="F710" s="4">
        <v>120.14844656043155</v>
      </c>
      <c r="G710" s="10">
        <v>709</v>
      </c>
    </row>
    <row r="711" spans="6:7" x14ac:dyDescent="0.3">
      <c r="F711" s="4">
        <v>80.050374245759528</v>
      </c>
      <c r="G711" s="3">
        <v>710</v>
      </c>
    </row>
    <row r="712" spans="6:7" x14ac:dyDescent="0.3">
      <c r="F712" s="4">
        <v>91.856555480183857</v>
      </c>
      <c r="G712" s="10">
        <v>711</v>
      </c>
    </row>
    <row r="713" spans="6:7" x14ac:dyDescent="0.3">
      <c r="F713" s="4">
        <v>102.86819651417011</v>
      </c>
      <c r="G713" s="3">
        <v>712</v>
      </c>
    </row>
    <row r="714" spans="6:7" x14ac:dyDescent="0.3">
      <c r="F714" s="4">
        <v>85.103406816415301</v>
      </c>
      <c r="G714" s="10">
        <v>713</v>
      </c>
    </row>
    <row r="715" spans="6:7" x14ac:dyDescent="0.3">
      <c r="F715" s="4">
        <v>103.33358955901861</v>
      </c>
      <c r="G715" s="3">
        <v>714</v>
      </c>
    </row>
    <row r="716" spans="6:7" x14ac:dyDescent="0.3">
      <c r="F716" s="4">
        <v>108.05812124135026</v>
      </c>
      <c r="G716" s="10">
        <v>715</v>
      </c>
    </row>
    <row r="717" spans="6:7" x14ac:dyDescent="0.3">
      <c r="F717" s="4">
        <v>80.288572980766332</v>
      </c>
      <c r="G717" s="3">
        <v>716</v>
      </c>
    </row>
    <row r="718" spans="6:7" x14ac:dyDescent="0.3">
      <c r="F718" s="4">
        <v>81.024845310841414</v>
      </c>
      <c r="G718" s="10">
        <v>717</v>
      </c>
    </row>
    <row r="719" spans="6:7" x14ac:dyDescent="0.3">
      <c r="F719" s="4">
        <v>85.402132372701431</v>
      </c>
      <c r="G719" s="3">
        <v>718</v>
      </c>
    </row>
    <row r="720" spans="6:7" x14ac:dyDescent="0.3">
      <c r="F720" s="4">
        <v>142.44341598204554</v>
      </c>
      <c r="G720" s="10">
        <v>719</v>
      </c>
    </row>
    <row r="721" spans="6:7" x14ac:dyDescent="0.3">
      <c r="F721" s="4">
        <v>80.374723275047103</v>
      </c>
      <c r="G721" s="3">
        <v>720</v>
      </c>
    </row>
    <row r="722" spans="6:7" x14ac:dyDescent="0.3">
      <c r="F722" s="4">
        <v>99.901185329967333</v>
      </c>
      <c r="G722" s="10">
        <v>721</v>
      </c>
    </row>
    <row r="723" spans="6:7" x14ac:dyDescent="0.3">
      <c r="F723" s="4">
        <v>131.54444042111223</v>
      </c>
      <c r="G723" s="3">
        <v>722</v>
      </c>
    </row>
    <row r="724" spans="6:7" x14ac:dyDescent="0.3">
      <c r="F724" s="4">
        <v>101.66593346330305</v>
      </c>
      <c r="G724" s="10">
        <v>723</v>
      </c>
    </row>
    <row r="725" spans="6:7" x14ac:dyDescent="0.3">
      <c r="F725" s="4">
        <v>94.148100317404399</v>
      </c>
      <c r="G725" s="3">
        <v>724</v>
      </c>
    </row>
    <row r="726" spans="6:7" x14ac:dyDescent="0.3">
      <c r="F726" s="4">
        <v>158.91665893605094</v>
      </c>
      <c r="G726" s="10">
        <v>725</v>
      </c>
    </row>
    <row r="727" spans="6:7" x14ac:dyDescent="0.3">
      <c r="F727" s="4">
        <v>101.91717848153253</v>
      </c>
      <c r="G727" s="3">
        <v>726</v>
      </c>
    </row>
    <row r="728" spans="6:7" x14ac:dyDescent="0.3">
      <c r="F728" s="4">
        <v>81.253045955184461</v>
      </c>
      <c r="G728" s="10">
        <v>727</v>
      </c>
    </row>
    <row r="729" spans="6:7" x14ac:dyDescent="0.3">
      <c r="F729" s="4">
        <v>97.781475966761434</v>
      </c>
      <c r="G729" s="3">
        <v>728</v>
      </c>
    </row>
    <row r="730" spans="6:7" x14ac:dyDescent="0.3">
      <c r="F730" s="4">
        <v>80.202574166033401</v>
      </c>
      <c r="G730" s="10">
        <v>729</v>
      </c>
    </row>
    <row r="731" spans="6:7" x14ac:dyDescent="0.3">
      <c r="F731" s="4">
        <v>110.9794927616729</v>
      </c>
      <c r="G731" s="3">
        <v>730</v>
      </c>
    </row>
    <row r="732" spans="6:7" x14ac:dyDescent="0.3">
      <c r="F732" s="4">
        <v>131.73206758592488</v>
      </c>
      <c r="G732" s="10">
        <v>731</v>
      </c>
    </row>
    <row r="733" spans="6:7" x14ac:dyDescent="0.3">
      <c r="F733" s="4">
        <v>85.809099142066884</v>
      </c>
      <c r="G733" s="3">
        <v>732</v>
      </c>
    </row>
    <row r="734" spans="6:7" x14ac:dyDescent="0.3">
      <c r="F734" s="4">
        <v>96.916972816994303</v>
      </c>
      <c r="G734" s="10">
        <v>733</v>
      </c>
    </row>
    <row r="735" spans="6:7" x14ac:dyDescent="0.3">
      <c r="F735" s="4">
        <v>89.125900560500796</v>
      </c>
      <c r="G735" s="3">
        <v>734</v>
      </c>
    </row>
    <row r="736" spans="6:7" x14ac:dyDescent="0.3">
      <c r="F736" s="4">
        <v>79.655178750876189</v>
      </c>
      <c r="G736" s="10">
        <v>735</v>
      </c>
    </row>
    <row r="737" spans="6:7" x14ac:dyDescent="0.3">
      <c r="F737" s="4">
        <v>79.872028799978608</v>
      </c>
      <c r="G737" s="3">
        <v>736</v>
      </c>
    </row>
    <row r="738" spans="6:7" x14ac:dyDescent="0.3">
      <c r="F738" s="4">
        <v>119.50728096288464</v>
      </c>
      <c r="G738" s="10">
        <v>737</v>
      </c>
    </row>
    <row r="739" spans="6:7" x14ac:dyDescent="0.3">
      <c r="F739" s="4">
        <v>100.0496500245102</v>
      </c>
      <c r="G739" s="3">
        <v>738</v>
      </c>
    </row>
    <row r="740" spans="6:7" x14ac:dyDescent="0.3">
      <c r="F740" s="4">
        <v>80.445653040180773</v>
      </c>
      <c r="G740" s="10">
        <v>739</v>
      </c>
    </row>
    <row r="741" spans="6:7" x14ac:dyDescent="0.3">
      <c r="F741" s="4">
        <v>87.421160521455903</v>
      </c>
      <c r="G741" s="3">
        <v>740</v>
      </c>
    </row>
    <row r="742" spans="6:7" x14ac:dyDescent="0.3">
      <c r="F742" s="4">
        <v>111.8751211554133</v>
      </c>
      <c r="G742" s="10">
        <v>741</v>
      </c>
    </row>
    <row r="743" spans="6:7" x14ac:dyDescent="0.3">
      <c r="F743" s="4">
        <v>121.98100670021135</v>
      </c>
      <c r="G743" s="3">
        <v>742</v>
      </c>
    </row>
    <row r="744" spans="6:7" x14ac:dyDescent="0.3">
      <c r="F744" s="4">
        <v>127.03277332223951</v>
      </c>
      <c r="G744" s="10">
        <v>743</v>
      </c>
    </row>
    <row r="745" spans="6:7" x14ac:dyDescent="0.3">
      <c r="F745" s="4">
        <v>97.835483176154227</v>
      </c>
      <c r="G745" s="3">
        <v>744</v>
      </c>
    </row>
    <row r="746" spans="6:7" x14ac:dyDescent="0.3">
      <c r="F746" s="4">
        <v>91.152261793113638</v>
      </c>
      <c r="G746" s="10">
        <v>745</v>
      </c>
    </row>
    <row r="747" spans="6:7" x14ac:dyDescent="0.3">
      <c r="F747" s="4">
        <v>82.174028418009428</v>
      </c>
      <c r="G747" s="3">
        <v>746</v>
      </c>
    </row>
    <row r="748" spans="6:7" x14ac:dyDescent="0.3">
      <c r="F748" s="4">
        <v>95.848492692198434</v>
      </c>
      <c r="G748" s="10">
        <v>747</v>
      </c>
    </row>
    <row r="749" spans="6:7" x14ac:dyDescent="0.3">
      <c r="F749" s="4">
        <v>79.99454937953918</v>
      </c>
      <c r="G749" s="3">
        <v>748</v>
      </c>
    </row>
    <row r="750" spans="6:7" x14ac:dyDescent="0.3">
      <c r="F750" s="4">
        <v>132.35269858875077</v>
      </c>
      <c r="G750" s="10">
        <v>749</v>
      </c>
    </row>
    <row r="751" spans="6:7" x14ac:dyDescent="0.3">
      <c r="F751" s="4">
        <v>88.573316988664232</v>
      </c>
      <c r="G751" s="3">
        <v>750</v>
      </c>
    </row>
    <row r="752" spans="6:7" x14ac:dyDescent="0.3">
      <c r="F752" s="4">
        <v>97.310516215350788</v>
      </c>
      <c r="G752" s="10">
        <v>751</v>
      </c>
    </row>
    <row r="753" spans="6:7" x14ac:dyDescent="0.3">
      <c r="F753" s="4">
        <v>87.285322839737518</v>
      </c>
      <c r="G753" s="3">
        <v>752</v>
      </c>
    </row>
    <row r="754" spans="6:7" x14ac:dyDescent="0.3">
      <c r="F754" s="4">
        <v>86.573252268537615</v>
      </c>
      <c r="G754" s="10">
        <v>753</v>
      </c>
    </row>
    <row r="755" spans="6:7" x14ac:dyDescent="0.3">
      <c r="F755" s="4">
        <v>98.755343111447317</v>
      </c>
      <c r="G755" s="3">
        <v>754</v>
      </c>
    </row>
    <row r="756" spans="6:7" x14ac:dyDescent="0.3">
      <c r="F756" s="4">
        <v>113.92883505324848</v>
      </c>
      <c r="G756" s="10">
        <v>755</v>
      </c>
    </row>
    <row r="757" spans="6:7" x14ac:dyDescent="0.3">
      <c r="F757" s="4">
        <v>81.017410753207884</v>
      </c>
      <c r="G757" s="3">
        <v>756</v>
      </c>
    </row>
    <row r="758" spans="6:7" x14ac:dyDescent="0.3">
      <c r="F758" s="4">
        <v>121.00041774289464</v>
      </c>
      <c r="G758" s="10">
        <v>757</v>
      </c>
    </row>
    <row r="759" spans="6:7" x14ac:dyDescent="0.3">
      <c r="F759" s="4">
        <v>94.506509841298893</v>
      </c>
      <c r="G759" s="3">
        <v>758</v>
      </c>
    </row>
    <row r="760" spans="6:7" x14ac:dyDescent="0.3">
      <c r="F760" s="4">
        <v>91.011142040630318</v>
      </c>
      <c r="G760" s="10">
        <v>759</v>
      </c>
    </row>
    <row r="761" spans="6:7" x14ac:dyDescent="0.3">
      <c r="F761" s="4">
        <v>80.638198769003395</v>
      </c>
      <c r="G761" s="3">
        <v>760</v>
      </c>
    </row>
    <row r="762" spans="6:7" x14ac:dyDescent="0.3">
      <c r="F762" s="4">
        <v>119.34971431040854</v>
      </c>
      <c r="G762" s="10">
        <v>761</v>
      </c>
    </row>
    <row r="763" spans="6:7" x14ac:dyDescent="0.3">
      <c r="F763" s="4">
        <v>80.196394868755917</v>
      </c>
      <c r="G763" s="3">
        <v>762</v>
      </c>
    </row>
    <row r="764" spans="6:7" x14ac:dyDescent="0.3">
      <c r="F764" s="4">
        <v>79.733166455062701</v>
      </c>
      <c r="G764" s="10">
        <v>763</v>
      </c>
    </row>
    <row r="765" spans="6:7" x14ac:dyDescent="0.3">
      <c r="F765" s="4">
        <v>89.497438901972046</v>
      </c>
      <c r="G765" s="3">
        <v>764</v>
      </c>
    </row>
    <row r="766" spans="6:7" x14ac:dyDescent="0.3">
      <c r="F766" s="4">
        <v>82.559980741165461</v>
      </c>
      <c r="G766" s="10">
        <v>765</v>
      </c>
    </row>
    <row r="767" spans="6:7" x14ac:dyDescent="0.3">
      <c r="F767" s="4">
        <v>87.464394256391145</v>
      </c>
      <c r="G767" s="3">
        <v>766</v>
      </c>
    </row>
    <row r="768" spans="6:7" x14ac:dyDescent="0.3">
      <c r="F768" s="4">
        <v>102.70104290304879</v>
      </c>
      <c r="G768" s="10">
        <v>767</v>
      </c>
    </row>
    <row r="769" spans="6:7" x14ac:dyDescent="0.3">
      <c r="F769" s="4">
        <v>82.207944884840146</v>
      </c>
      <c r="G769" s="3">
        <v>768</v>
      </c>
    </row>
    <row r="770" spans="6:7" x14ac:dyDescent="0.3">
      <c r="F770" s="4">
        <v>104.66174631837259</v>
      </c>
      <c r="G770" s="10">
        <v>769</v>
      </c>
    </row>
    <row r="771" spans="6:7" x14ac:dyDescent="0.3">
      <c r="F771" s="4">
        <v>85.318902466796445</v>
      </c>
      <c r="G771" s="3">
        <v>770</v>
      </c>
    </row>
    <row r="772" spans="6:7" x14ac:dyDescent="0.3">
      <c r="F772" s="4">
        <v>79.853810014676711</v>
      </c>
      <c r="G772" s="10">
        <v>771</v>
      </c>
    </row>
    <row r="773" spans="6:7" x14ac:dyDescent="0.3">
      <c r="F773" s="4">
        <v>128.24277858882664</v>
      </c>
      <c r="G773" s="3">
        <v>772</v>
      </c>
    </row>
    <row r="774" spans="6:7" x14ac:dyDescent="0.3">
      <c r="F774" s="4">
        <v>109.58424826713441</v>
      </c>
      <c r="G774" s="10">
        <v>773</v>
      </c>
    </row>
    <row r="775" spans="6:7" x14ac:dyDescent="0.3">
      <c r="F775" s="4">
        <v>93.36513763689139</v>
      </c>
      <c r="G775" s="3">
        <v>774</v>
      </c>
    </row>
    <row r="776" spans="6:7" x14ac:dyDescent="0.3">
      <c r="F776" s="4">
        <v>87.744917304593855</v>
      </c>
      <c r="G776" s="10">
        <v>775</v>
      </c>
    </row>
    <row r="777" spans="6:7" x14ac:dyDescent="0.3">
      <c r="F777" s="4">
        <v>104.59770962046105</v>
      </c>
      <c r="G777" s="3">
        <v>776</v>
      </c>
    </row>
    <row r="778" spans="6:7" x14ac:dyDescent="0.3">
      <c r="F778" s="4">
        <v>102.34866610178545</v>
      </c>
      <c r="G778" s="10">
        <v>777</v>
      </c>
    </row>
    <row r="779" spans="6:7" x14ac:dyDescent="0.3">
      <c r="F779" s="4">
        <v>108.68534396902136</v>
      </c>
      <c r="G779" s="3">
        <v>778</v>
      </c>
    </row>
    <row r="780" spans="6:7" x14ac:dyDescent="0.3">
      <c r="F780" s="4">
        <v>80.62053963544615</v>
      </c>
      <c r="G780" s="10">
        <v>779</v>
      </c>
    </row>
    <row r="781" spans="6:7" x14ac:dyDescent="0.3">
      <c r="F781" s="4">
        <v>80.557271030698104</v>
      </c>
      <c r="G781" s="3">
        <v>780</v>
      </c>
    </row>
    <row r="782" spans="6:7" x14ac:dyDescent="0.3">
      <c r="F782" s="4">
        <v>131.630498491189</v>
      </c>
      <c r="G782" s="10">
        <v>781</v>
      </c>
    </row>
    <row r="783" spans="6:7" x14ac:dyDescent="0.3">
      <c r="F783" s="4">
        <v>173.84503433678685</v>
      </c>
      <c r="G783" s="3">
        <v>782</v>
      </c>
    </row>
    <row r="784" spans="6:7" x14ac:dyDescent="0.3">
      <c r="F784" s="4">
        <v>103.48861509826828</v>
      </c>
      <c r="G784" s="10">
        <v>783</v>
      </c>
    </row>
    <row r="785" spans="6:7" x14ac:dyDescent="0.3">
      <c r="F785" s="4">
        <v>93.06229352310811</v>
      </c>
      <c r="G785" s="3">
        <v>784</v>
      </c>
    </row>
    <row r="786" spans="6:7" x14ac:dyDescent="0.3">
      <c r="F786" s="4">
        <v>127.40031051738112</v>
      </c>
      <c r="G786" s="10">
        <v>785</v>
      </c>
    </row>
    <row r="787" spans="6:7" x14ac:dyDescent="0.3">
      <c r="F787" s="4">
        <v>114.37346906240698</v>
      </c>
      <c r="G787" s="3">
        <v>786</v>
      </c>
    </row>
    <row r="788" spans="6:7" x14ac:dyDescent="0.3">
      <c r="F788" s="4">
        <v>154.3573339225936</v>
      </c>
      <c r="G788" s="10">
        <v>787</v>
      </c>
    </row>
    <row r="789" spans="6:7" x14ac:dyDescent="0.3">
      <c r="F789" s="4">
        <v>80.164264538876182</v>
      </c>
      <c r="G789" s="3">
        <v>788</v>
      </c>
    </row>
    <row r="790" spans="6:7" x14ac:dyDescent="0.3">
      <c r="F790" s="4">
        <v>153.59156852784065</v>
      </c>
      <c r="G790" s="10">
        <v>789</v>
      </c>
    </row>
    <row r="791" spans="6:7" x14ac:dyDescent="0.3">
      <c r="F791" s="4">
        <v>80.495086325264808</v>
      </c>
      <c r="G791" s="3">
        <v>790</v>
      </c>
    </row>
    <row r="792" spans="6:7" x14ac:dyDescent="0.3">
      <c r="F792" s="4">
        <v>130.16835144389043</v>
      </c>
      <c r="G792" s="10">
        <v>791</v>
      </c>
    </row>
    <row r="793" spans="6:7" x14ac:dyDescent="0.3">
      <c r="F793" s="4">
        <v>80.6270127085469</v>
      </c>
      <c r="G793" s="3">
        <v>792</v>
      </c>
    </row>
    <row r="794" spans="6:7" x14ac:dyDescent="0.3">
      <c r="F794" s="4">
        <v>148.53165621156509</v>
      </c>
      <c r="G794" s="10">
        <v>793</v>
      </c>
    </row>
    <row r="795" spans="6:7" x14ac:dyDescent="0.3">
      <c r="F795" s="4">
        <v>104.65525910107428</v>
      </c>
      <c r="G795" s="3">
        <v>794</v>
      </c>
    </row>
    <row r="796" spans="6:7" x14ac:dyDescent="0.3">
      <c r="F796" s="4">
        <v>146.8352535634462</v>
      </c>
      <c r="G796" s="10">
        <v>795</v>
      </c>
    </row>
    <row r="797" spans="6:7" x14ac:dyDescent="0.3">
      <c r="F797" s="4">
        <v>81.027270501756519</v>
      </c>
      <c r="G797" s="3">
        <v>796</v>
      </c>
    </row>
    <row r="798" spans="6:7" x14ac:dyDescent="0.3">
      <c r="F798" s="4">
        <v>150.36566450956605</v>
      </c>
      <c r="G798" s="10">
        <v>797</v>
      </c>
    </row>
    <row r="799" spans="6:7" x14ac:dyDescent="0.3">
      <c r="F799" s="4">
        <v>131.02095136975214</v>
      </c>
      <c r="G799" s="3">
        <v>798</v>
      </c>
    </row>
    <row r="800" spans="6:7" x14ac:dyDescent="0.3">
      <c r="F800" s="4">
        <v>80.019565186410489</v>
      </c>
      <c r="G800" s="10">
        <v>799</v>
      </c>
    </row>
    <row r="801" spans="6:7" x14ac:dyDescent="0.3">
      <c r="F801" s="4">
        <v>103.8257355150774</v>
      </c>
      <c r="G801" s="3">
        <v>800</v>
      </c>
    </row>
    <row r="802" spans="6:7" x14ac:dyDescent="0.3">
      <c r="F802" s="4">
        <v>88.531849689081938</v>
      </c>
      <c r="G802" s="10">
        <v>801</v>
      </c>
    </row>
    <row r="803" spans="6:7" x14ac:dyDescent="0.3">
      <c r="F803" s="4">
        <v>108.6073638371834</v>
      </c>
      <c r="G803" s="3">
        <v>802</v>
      </c>
    </row>
    <row r="804" spans="6:7" x14ac:dyDescent="0.3">
      <c r="F804" s="4">
        <v>79.683472968734264</v>
      </c>
      <c r="G804" s="10">
        <v>803</v>
      </c>
    </row>
    <row r="805" spans="6:7" x14ac:dyDescent="0.3">
      <c r="F805" s="4">
        <v>99.407338258907203</v>
      </c>
      <c r="G805" s="3">
        <v>804</v>
      </c>
    </row>
    <row r="806" spans="6:7" x14ac:dyDescent="0.3">
      <c r="F806" s="4">
        <v>112.10499245734086</v>
      </c>
      <c r="G806" s="10">
        <v>805</v>
      </c>
    </row>
    <row r="807" spans="6:7" x14ac:dyDescent="0.3">
      <c r="F807" s="4">
        <v>80.472368305486299</v>
      </c>
      <c r="G807" s="3">
        <v>806</v>
      </c>
    </row>
    <row r="808" spans="6:7" x14ac:dyDescent="0.3">
      <c r="F808" s="4">
        <v>89.87038168087129</v>
      </c>
      <c r="G808" s="10">
        <v>807</v>
      </c>
    </row>
    <row r="809" spans="6:7" x14ac:dyDescent="0.3">
      <c r="F809" s="4">
        <v>79.781207225824971</v>
      </c>
      <c r="G809" s="3">
        <v>808</v>
      </c>
    </row>
    <row r="810" spans="6:7" x14ac:dyDescent="0.3">
      <c r="F810" s="4">
        <v>85.484318445382954</v>
      </c>
      <c r="G810" s="10">
        <v>809</v>
      </c>
    </row>
    <row r="811" spans="6:7" x14ac:dyDescent="0.3">
      <c r="F811" s="4">
        <v>141.03510784260757</v>
      </c>
      <c r="G811" s="3">
        <v>810</v>
      </c>
    </row>
    <row r="812" spans="6:7" x14ac:dyDescent="0.3">
      <c r="F812" s="4">
        <v>81.752738076374641</v>
      </c>
      <c r="G812" s="10">
        <v>811</v>
      </c>
    </row>
    <row r="813" spans="6:7" x14ac:dyDescent="0.3">
      <c r="F813" s="4">
        <v>84.586239414061566</v>
      </c>
      <c r="G813" s="3">
        <v>812</v>
      </c>
    </row>
    <row r="814" spans="6:7" x14ac:dyDescent="0.3">
      <c r="F814" s="4">
        <v>91.05103102579919</v>
      </c>
      <c r="G814" s="10">
        <v>813</v>
      </c>
    </row>
    <row r="815" spans="6:7" x14ac:dyDescent="0.3">
      <c r="F815" s="4">
        <v>157.6192283892602</v>
      </c>
      <c r="G815" s="3">
        <v>814</v>
      </c>
    </row>
    <row r="816" spans="6:7" x14ac:dyDescent="0.3">
      <c r="F816" s="4">
        <v>79.471778215995457</v>
      </c>
      <c r="G816" s="10">
        <v>815</v>
      </c>
    </row>
    <row r="817" spans="6:7" x14ac:dyDescent="0.3">
      <c r="F817" s="4">
        <v>117.78568218942169</v>
      </c>
      <c r="G817" s="3">
        <v>816</v>
      </c>
    </row>
    <row r="818" spans="6:7" x14ac:dyDescent="0.3">
      <c r="F818" s="4">
        <v>79.413625663686062</v>
      </c>
      <c r="G818" s="10">
        <v>817</v>
      </c>
    </row>
    <row r="819" spans="6:7" x14ac:dyDescent="0.3">
      <c r="F819" s="4">
        <v>122.72101391066577</v>
      </c>
      <c r="G819" s="3">
        <v>818</v>
      </c>
    </row>
    <row r="820" spans="6:7" x14ac:dyDescent="0.3">
      <c r="F820" s="4">
        <v>79.359793098351219</v>
      </c>
      <c r="G820" s="10">
        <v>819</v>
      </c>
    </row>
    <row r="821" spans="6:7" x14ac:dyDescent="0.3">
      <c r="F821" s="4">
        <v>104.97012048349403</v>
      </c>
      <c r="G821" s="3">
        <v>820</v>
      </c>
    </row>
    <row r="822" spans="6:7" x14ac:dyDescent="0.3">
      <c r="F822" s="4">
        <v>83.706040226609815</v>
      </c>
      <c r="G822" s="10">
        <v>821</v>
      </c>
    </row>
    <row r="823" spans="6:7" x14ac:dyDescent="0.3">
      <c r="F823" s="4">
        <v>79.521863219934716</v>
      </c>
      <c r="G823" s="3">
        <v>822</v>
      </c>
    </row>
    <row r="824" spans="6:7" x14ac:dyDescent="0.3">
      <c r="F824" s="4">
        <v>102.64414875455563</v>
      </c>
      <c r="G824" s="10">
        <v>823</v>
      </c>
    </row>
    <row r="825" spans="6:7" x14ac:dyDescent="0.3">
      <c r="F825" s="4">
        <v>87.998314875513998</v>
      </c>
      <c r="G825" s="3">
        <v>824</v>
      </c>
    </row>
    <row r="826" spans="6:7" x14ac:dyDescent="0.3">
      <c r="F826" s="4">
        <v>193.03240458579998</v>
      </c>
      <c r="G826" s="10">
        <v>825</v>
      </c>
    </row>
    <row r="827" spans="6:7" x14ac:dyDescent="0.3">
      <c r="F827" s="4">
        <v>110.88099089446486</v>
      </c>
      <c r="G827" s="3">
        <v>826</v>
      </c>
    </row>
    <row r="828" spans="6:7" x14ac:dyDescent="0.3">
      <c r="F828" s="4">
        <v>81.812892154230568</v>
      </c>
      <c r="G828" s="10">
        <v>827</v>
      </c>
    </row>
    <row r="829" spans="6:7" x14ac:dyDescent="0.3">
      <c r="F829" s="4">
        <v>141.81194400168536</v>
      </c>
      <c r="G829" s="3">
        <v>828</v>
      </c>
    </row>
    <row r="830" spans="6:7" x14ac:dyDescent="0.3">
      <c r="F830" s="4">
        <v>88.790562925196596</v>
      </c>
      <c r="G830" s="10">
        <v>829</v>
      </c>
    </row>
    <row r="831" spans="6:7" x14ac:dyDescent="0.3">
      <c r="F831" s="4">
        <v>91.010326232868124</v>
      </c>
      <c r="G831" s="3">
        <v>830</v>
      </c>
    </row>
    <row r="832" spans="6:7" x14ac:dyDescent="0.3">
      <c r="F832" s="4">
        <v>86.907595096522812</v>
      </c>
      <c r="G832" s="10">
        <v>831</v>
      </c>
    </row>
    <row r="833" spans="6:7" x14ac:dyDescent="0.3">
      <c r="F833" s="4">
        <v>223.92106651260096</v>
      </c>
      <c r="G833" s="3">
        <v>832</v>
      </c>
    </row>
    <row r="834" spans="6:7" x14ac:dyDescent="0.3">
      <c r="F834" s="4">
        <v>80.112040749797416</v>
      </c>
      <c r="G834" s="10">
        <v>833</v>
      </c>
    </row>
    <row r="835" spans="6:7" x14ac:dyDescent="0.3">
      <c r="F835" s="4">
        <v>158.96150599640902</v>
      </c>
      <c r="G835" s="3">
        <v>834</v>
      </c>
    </row>
    <row r="836" spans="6:7" x14ac:dyDescent="0.3">
      <c r="F836" s="4">
        <v>79.016707739070085</v>
      </c>
      <c r="G836" s="10">
        <v>835</v>
      </c>
    </row>
    <row r="837" spans="6:7" x14ac:dyDescent="0.3">
      <c r="F837" s="4">
        <v>79.234738902666621</v>
      </c>
      <c r="G837" s="3">
        <v>836</v>
      </c>
    </row>
    <row r="838" spans="6:7" x14ac:dyDescent="0.3">
      <c r="F838" s="4">
        <v>81.217626660508188</v>
      </c>
      <c r="G838" s="10">
        <v>837</v>
      </c>
    </row>
    <row r="839" spans="6:7" x14ac:dyDescent="0.3">
      <c r="F839" s="4">
        <v>79.444087615039024</v>
      </c>
      <c r="G839" s="3">
        <v>838</v>
      </c>
    </row>
    <row r="840" spans="6:7" x14ac:dyDescent="0.3">
      <c r="F840" s="4">
        <v>83.544121145455776</v>
      </c>
      <c r="G840" s="10">
        <v>839</v>
      </c>
    </row>
    <row r="841" spans="6:7" x14ac:dyDescent="0.3">
      <c r="F841" s="4">
        <v>141.91389441209029</v>
      </c>
      <c r="G841" s="3">
        <v>840</v>
      </c>
    </row>
    <row r="842" spans="6:7" x14ac:dyDescent="0.3">
      <c r="F842" s="4">
        <v>154.54518307225231</v>
      </c>
      <c r="G842" s="10">
        <v>841</v>
      </c>
    </row>
    <row r="843" spans="6:7" x14ac:dyDescent="0.3">
      <c r="F843" s="4">
        <v>79.902009446575363</v>
      </c>
      <c r="G843" s="3">
        <v>842</v>
      </c>
    </row>
    <row r="844" spans="6:7" x14ac:dyDescent="0.3">
      <c r="F844" s="4">
        <v>106.24036164414508</v>
      </c>
      <c r="G844" s="10">
        <v>843</v>
      </c>
    </row>
    <row r="845" spans="6:7" x14ac:dyDescent="0.3">
      <c r="F845" s="4">
        <v>92.544069878393529</v>
      </c>
      <c r="G845" s="3">
        <v>844</v>
      </c>
    </row>
    <row r="846" spans="6:7" x14ac:dyDescent="0.3">
      <c r="F846" s="4">
        <v>86.701135036493511</v>
      </c>
      <c r="G846" s="10">
        <v>845</v>
      </c>
    </row>
    <row r="847" spans="6:7" x14ac:dyDescent="0.3">
      <c r="F847" s="4">
        <v>145.01114166768591</v>
      </c>
      <c r="G847" s="3">
        <v>846</v>
      </c>
    </row>
    <row r="848" spans="6:7" x14ac:dyDescent="0.3">
      <c r="F848" s="4">
        <v>81.370794354891757</v>
      </c>
      <c r="G848" s="10">
        <v>847</v>
      </c>
    </row>
    <row r="849" spans="6:7" x14ac:dyDescent="0.3">
      <c r="F849" s="4">
        <v>164.53624172535928</v>
      </c>
      <c r="G849" s="3">
        <v>848</v>
      </c>
    </row>
    <row r="850" spans="6:7" x14ac:dyDescent="0.3">
      <c r="F850" s="4">
        <v>83.083356388818643</v>
      </c>
      <c r="G850" s="10">
        <v>849</v>
      </c>
    </row>
    <row r="851" spans="6:7" x14ac:dyDescent="0.3">
      <c r="F851" s="4">
        <v>80.019888025952923</v>
      </c>
      <c r="G851" s="3">
        <v>850</v>
      </c>
    </row>
    <row r="852" spans="6:7" x14ac:dyDescent="0.3">
      <c r="F852" s="4">
        <v>79.994151248008862</v>
      </c>
      <c r="G852" s="10">
        <v>851</v>
      </c>
    </row>
    <row r="853" spans="6:7" x14ac:dyDescent="0.3">
      <c r="F853" s="4">
        <v>115.10868980778592</v>
      </c>
      <c r="G853" s="3">
        <v>852</v>
      </c>
    </row>
    <row r="854" spans="6:7" x14ac:dyDescent="0.3">
      <c r="F854" s="4">
        <v>80.241940868927202</v>
      </c>
      <c r="G854" s="10">
        <v>853</v>
      </c>
    </row>
    <row r="855" spans="6:7" x14ac:dyDescent="0.3">
      <c r="F855" s="4">
        <v>79.439058420809687</v>
      </c>
      <c r="G855" s="3">
        <v>854</v>
      </c>
    </row>
    <row r="856" spans="6:7" x14ac:dyDescent="0.3">
      <c r="F856" s="4">
        <v>128.06151014018135</v>
      </c>
      <c r="G856" s="10">
        <v>855</v>
      </c>
    </row>
    <row r="857" spans="6:7" x14ac:dyDescent="0.3">
      <c r="F857" s="4">
        <v>108.38936712125228</v>
      </c>
      <c r="G857" s="3">
        <v>856</v>
      </c>
    </row>
    <row r="858" spans="6:7" x14ac:dyDescent="0.3">
      <c r="F858" s="4">
        <v>104.26186725291251</v>
      </c>
      <c r="G858" s="10">
        <v>857</v>
      </c>
    </row>
    <row r="859" spans="6:7" x14ac:dyDescent="0.3">
      <c r="F859" s="4">
        <v>84.289859770672109</v>
      </c>
      <c r="G859" s="3">
        <v>858</v>
      </c>
    </row>
    <row r="860" spans="6:7" x14ac:dyDescent="0.3">
      <c r="F860" s="4">
        <v>143.94460995229937</v>
      </c>
      <c r="G860" s="10">
        <v>859</v>
      </c>
    </row>
    <row r="861" spans="6:7" x14ac:dyDescent="0.3">
      <c r="F861" s="4">
        <v>244.37559883919806</v>
      </c>
      <c r="G861" s="3">
        <v>860</v>
      </c>
    </row>
    <row r="862" spans="6:7" x14ac:dyDescent="0.3">
      <c r="F862" s="4">
        <v>97.918696149505948</v>
      </c>
      <c r="G862" s="10">
        <v>861</v>
      </c>
    </row>
    <row r="863" spans="6:7" x14ac:dyDescent="0.3">
      <c r="F863" s="4">
        <v>92.322546093683485</v>
      </c>
      <c r="G863" s="3">
        <v>862</v>
      </c>
    </row>
    <row r="864" spans="6:7" x14ac:dyDescent="0.3">
      <c r="F864" s="4">
        <v>109.63930072240655</v>
      </c>
      <c r="G864" s="10">
        <v>863</v>
      </c>
    </row>
    <row r="865" spans="6:7" x14ac:dyDescent="0.3">
      <c r="F865" s="4">
        <v>99.924835905736614</v>
      </c>
      <c r="G865" s="3">
        <v>864</v>
      </c>
    </row>
    <row r="866" spans="6:7" x14ac:dyDescent="0.3">
      <c r="F866" s="4">
        <v>106.76070143180743</v>
      </c>
      <c r="G866" s="10">
        <v>865</v>
      </c>
    </row>
    <row r="867" spans="6:7" x14ac:dyDescent="0.3">
      <c r="F867" s="4">
        <v>80.515932845657531</v>
      </c>
      <c r="G867" s="3">
        <v>866</v>
      </c>
    </row>
    <row r="868" spans="6:7" x14ac:dyDescent="0.3">
      <c r="F868" s="4">
        <v>151.31822377748719</v>
      </c>
      <c r="G868" s="10">
        <v>867</v>
      </c>
    </row>
    <row r="869" spans="6:7" x14ac:dyDescent="0.3">
      <c r="F869" s="4">
        <v>159.14942216659418</v>
      </c>
      <c r="G869" s="3">
        <v>868</v>
      </c>
    </row>
    <row r="870" spans="6:7" x14ac:dyDescent="0.3">
      <c r="F870" s="4">
        <v>110.55458557880428</v>
      </c>
      <c r="G870" s="10">
        <v>869</v>
      </c>
    </row>
    <row r="871" spans="6:7" x14ac:dyDescent="0.3">
      <c r="F871" s="4">
        <v>80.100341798172465</v>
      </c>
      <c r="G871" s="3">
        <v>870</v>
      </c>
    </row>
    <row r="872" spans="6:7" x14ac:dyDescent="0.3">
      <c r="F872" s="4">
        <v>86.86452098852007</v>
      </c>
      <c r="G872" s="10">
        <v>871</v>
      </c>
    </row>
    <row r="873" spans="6:7" x14ac:dyDescent="0.3">
      <c r="F873" s="4">
        <v>78.308729277078925</v>
      </c>
      <c r="G873" s="3">
        <v>872</v>
      </c>
    </row>
    <row r="874" spans="6:7" x14ac:dyDescent="0.3">
      <c r="F874" s="4">
        <v>119.55658126224571</v>
      </c>
      <c r="G874" s="10">
        <v>873</v>
      </c>
    </row>
    <row r="875" spans="6:7" x14ac:dyDescent="0.3">
      <c r="F875" s="4">
        <v>88.878652341531051</v>
      </c>
      <c r="G875" s="3">
        <v>874</v>
      </c>
    </row>
    <row r="876" spans="6:7" x14ac:dyDescent="0.3">
      <c r="F876" s="4">
        <v>80.557875173222783</v>
      </c>
      <c r="G876" s="10">
        <v>875</v>
      </c>
    </row>
    <row r="877" spans="6:7" x14ac:dyDescent="0.3">
      <c r="F877" s="4">
        <v>83.693351769982229</v>
      </c>
      <c r="G877" s="3">
        <v>876</v>
      </c>
    </row>
    <row r="878" spans="6:7" x14ac:dyDescent="0.3">
      <c r="F878" s="4">
        <v>79.704199459807811</v>
      </c>
      <c r="G878" s="10">
        <v>877</v>
      </c>
    </row>
    <row r="879" spans="6:7" x14ac:dyDescent="0.3">
      <c r="F879" s="4">
        <v>164.28426624865921</v>
      </c>
      <c r="G879" s="3">
        <v>878</v>
      </c>
    </row>
    <row r="880" spans="6:7" x14ac:dyDescent="0.3">
      <c r="F880" s="4">
        <v>112.67252711523184</v>
      </c>
      <c r="G880" s="10">
        <v>879</v>
      </c>
    </row>
    <row r="881" spans="6:7" x14ac:dyDescent="0.3">
      <c r="F881" s="4">
        <v>80.154765653370873</v>
      </c>
      <c r="G881" s="3">
        <v>880</v>
      </c>
    </row>
    <row r="882" spans="6:7" x14ac:dyDescent="0.3">
      <c r="F882" s="4">
        <v>79.880326229684869</v>
      </c>
      <c r="G882" s="10">
        <v>881</v>
      </c>
    </row>
    <row r="883" spans="6:7" x14ac:dyDescent="0.3">
      <c r="F883" s="4">
        <v>93.399021227037537</v>
      </c>
      <c r="G883" s="3">
        <v>882</v>
      </c>
    </row>
    <row r="884" spans="6:7" x14ac:dyDescent="0.3">
      <c r="F884" s="4">
        <v>125.87855761330687</v>
      </c>
      <c r="G884" s="10">
        <v>883</v>
      </c>
    </row>
    <row r="885" spans="6:7" x14ac:dyDescent="0.3">
      <c r="F885" s="4">
        <v>90.307285549209226</v>
      </c>
      <c r="G885" s="3">
        <v>884</v>
      </c>
    </row>
    <row r="886" spans="6:7" x14ac:dyDescent="0.3">
      <c r="F886" s="4">
        <v>101.71852122909598</v>
      </c>
      <c r="G886" s="10">
        <v>885</v>
      </c>
    </row>
    <row r="887" spans="6:7" x14ac:dyDescent="0.3">
      <c r="F887" s="4">
        <v>117.40157207689009</v>
      </c>
      <c r="G887" s="3">
        <v>886</v>
      </c>
    </row>
    <row r="888" spans="6:7" x14ac:dyDescent="0.3">
      <c r="F888" s="4">
        <v>79.953497227291479</v>
      </c>
      <c r="G888" s="10">
        <v>887</v>
      </c>
    </row>
    <row r="889" spans="6:7" x14ac:dyDescent="0.3">
      <c r="F889" s="4">
        <v>111.47937421158737</v>
      </c>
      <c r="G889" s="3">
        <v>888</v>
      </c>
    </row>
    <row r="890" spans="6:7" x14ac:dyDescent="0.3">
      <c r="F890" s="4">
        <v>88.368399875934628</v>
      </c>
      <c r="G890" s="10">
        <v>889</v>
      </c>
    </row>
    <row r="891" spans="6:7" x14ac:dyDescent="0.3">
      <c r="F891" s="4">
        <v>97.967055733087278</v>
      </c>
      <c r="G891" s="3">
        <v>890</v>
      </c>
    </row>
    <row r="892" spans="6:7" x14ac:dyDescent="0.3">
      <c r="F892" s="4">
        <v>81.075125865382887</v>
      </c>
      <c r="G892" s="10">
        <v>891</v>
      </c>
    </row>
    <row r="893" spans="6:7" x14ac:dyDescent="0.3">
      <c r="F893" s="4">
        <v>107.9921425477755</v>
      </c>
      <c r="G893" s="3">
        <v>892</v>
      </c>
    </row>
    <row r="894" spans="6:7" x14ac:dyDescent="0.3">
      <c r="F894" s="4">
        <v>80.270187522727653</v>
      </c>
      <c r="G894" s="10">
        <v>893</v>
      </c>
    </row>
    <row r="895" spans="6:7" x14ac:dyDescent="0.3">
      <c r="F895" s="4">
        <v>107.79098177397985</v>
      </c>
      <c r="G895" s="3">
        <v>894</v>
      </c>
    </row>
    <row r="896" spans="6:7" x14ac:dyDescent="0.3">
      <c r="F896" s="4">
        <v>81.423131859272402</v>
      </c>
      <c r="G896" s="10">
        <v>895</v>
      </c>
    </row>
    <row r="897" spans="6:7" x14ac:dyDescent="0.3">
      <c r="F897" s="4">
        <v>87.415619222400466</v>
      </c>
      <c r="G897" s="3">
        <v>896</v>
      </c>
    </row>
    <row r="898" spans="6:7" x14ac:dyDescent="0.3">
      <c r="F898" s="4">
        <v>80.704351767263518</v>
      </c>
      <c r="G898" s="10">
        <v>897</v>
      </c>
    </row>
    <row r="899" spans="6:7" x14ac:dyDescent="0.3">
      <c r="F899" s="4">
        <v>80.428701442164495</v>
      </c>
      <c r="G899" s="3">
        <v>898</v>
      </c>
    </row>
    <row r="900" spans="6:7" x14ac:dyDescent="0.3">
      <c r="F900" s="4">
        <v>109.44747736015447</v>
      </c>
      <c r="G900" s="10">
        <v>899</v>
      </c>
    </row>
    <row r="901" spans="6:7" x14ac:dyDescent="0.3">
      <c r="F901" s="4">
        <v>92.855618096438207</v>
      </c>
      <c r="G901" s="3">
        <v>900</v>
      </c>
    </row>
    <row r="902" spans="6:7" x14ac:dyDescent="0.3">
      <c r="F902" s="4">
        <v>111.232713436398</v>
      </c>
      <c r="G902" s="10">
        <v>901</v>
      </c>
    </row>
    <row r="903" spans="6:7" x14ac:dyDescent="0.3">
      <c r="F903" s="4">
        <v>205.61042619596958</v>
      </c>
      <c r="G903" s="3">
        <v>902</v>
      </c>
    </row>
    <row r="904" spans="6:7" x14ac:dyDescent="0.3">
      <c r="F904" s="4">
        <v>131.63622061011421</v>
      </c>
      <c r="G904" s="10">
        <v>903</v>
      </c>
    </row>
    <row r="905" spans="6:7" x14ac:dyDescent="0.3">
      <c r="F905" s="4">
        <v>102.77768647769268</v>
      </c>
      <c r="G905" s="3">
        <v>904</v>
      </c>
    </row>
    <row r="906" spans="6:7" x14ac:dyDescent="0.3">
      <c r="F906" s="4">
        <v>161.07868854288233</v>
      </c>
      <c r="G906" s="10">
        <v>905</v>
      </c>
    </row>
    <row r="907" spans="6:7" x14ac:dyDescent="0.3">
      <c r="F907" s="4">
        <v>123.12419572446977</v>
      </c>
      <c r="G907" s="3">
        <v>906</v>
      </c>
    </row>
    <row r="908" spans="6:7" x14ac:dyDescent="0.3">
      <c r="F908" s="4">
        <v>81.099555164369761</v>
      </c>
      <c r="G908" s="10">
        <v>907</v>
      </c>
    </row>
    <row r="909" spans="6:7" x14ac:dyDescent="0.3">
      <c r="F909" s="4">
        <v>127.24844859049833</v>
      </c>
      <c r="G909" s="3">
        <v>908</v>
      </c>
    </row>
    <row r="910" spans="6:7" x14ac:dyDescent="0.3">
      <c r="F910" s="4">
        <v>86.908090537912315</v>
      </c>
      <c r="G910" s="10">
        <v>909</v>
      </c>
    </row>
    <row r="911" spans="6:7" x14ac:dyDescent="0.3">
      <c r="F911" s="4">
        <v>114.24863066971736</v>
      </c>
      <c r="G911" s="3">
        <v>910</v>
      </c>
    </row>
    <row r="912" spans="6:7" x14ac:dyDescent="0.3">
      <c r="F912" s="4">
        <v>80.291833553440298</v>
      </c>
      <c r="G912" s="10">
        <v>911</v>
      </c>
    </row>
    <row r="913" spans="6:7" x14ac:dyDescent="0.3">
      <c r="F913" s="4">
        <v>78.987717750633081</v>
      </c>
      <c r="G913" s="3">
        <v>912</v>
      </c>
    </row>
    <row r="914" spans="6:7" x14ac:dyDescent="0.3">
      <c r="F914" s="4">
        <v>88.857804252459132</v>
      </c>
      <c r="G914" s="10">
        <v>913</v>
      </c>
    </row>
    <row r="915" spans="6:7" x14ac:dyDescent="0.3">
      <c r="F915" s="4">
        <v>89.820469629494255</v>
      </c>
      <c r="G915" s="3">
        <v>914</v>
      </c>
    </row>
    <row r="916" spans="6:7" x14ac:dyDescent="0.3">
      <c r="F916" s="4">
        <v>78.758368311054255</v>
      </c>
      <c r="G916" s="10">
        <v>915</v>
      </c>
    </row>
    <row r="917" spans="6:7" x14ac:dyDescent="0.3">
      <c r="F917" s="4">
        <v>88.845149627954584</v>
      </c>
      <c r="G917" s="3">
        <v>916</v>
      </c>
    </row>
    <row r="918" spans="6:7" x14ac:dyDescent="0.3">
      <c r="F918" s="4">
        <v>94.777571048576149</v>
      </c>
      <c r="G918" s="10">
        <v>917</v>
      </c>
    </row>
    <row r="919" spans="6:7" x14ac:dyDescent="0.3">
      <c r="F919" s="4">
        <v>161.99745342883989</v>
      </c>
      <c r="G919" s="3">
        <v>918</v>
      </c>
    </row>
    <row r="920" spans="6:7" x14ac:dyDescent="0.3">
      <c r="F920" s="4">
        <v>90.690582991778442</v>
      </c>
      <c r="G920" s="10">
        <v>919</v>
      </c>
    </row>
    <row r="921" spans="6:7" x14ac:dyDescent="0.3">
      <c r="F921" s="4">
        <v>106.83740660664444</v>
      </c>
      <c r="G921" s="3">
        <v>920</v>
      </c>
    </row>
    <row r="922" spans="6:7" x14ac:dyDescent="0.3">
      <c r="F922" s="4">
        <v>103.62663550876611</v>
      </c>
      <c r="G922" s="10">
        <v>921</v>
      </c>
    </row>
    <row r="923" spans="6:7" x14ac:dyDescent="0.3">
      <c r="F923" s="4">
        <v>147.78001635368599</v>
      </c>
      <c r="G923" s="3">
        <v>922</v>
      </c>
    </row>
    <row r="924" spans="6:7" x14ac:dyDescent="0.3">
      <c r="F924" s="4">
        <v>79.889056933193629</v>
      </c>
      <c r="G924" s="10">
        <v>923</v>
      </c>
    </row>
    <row r="925" spans="6:7" x14ac:dyDescent="0.3">
      <c r="F925" s="4">
        <v>104.38947075440886</v>
      </c>
      <c r="G925" s="3">
        <v>924</v>
      </c>
    </row>
    <row r="926" spans="6:7" x14ac:dyDescent="0.3">
      <c r="F926" s="4">
        <v>131.83939178668226</v>
      </c>
      <c r="G926" s="10">
        <v>925</v>
      </c>
    </row>
    <row r="927" spans="6:7" x14ac:dyDescent="0.3">
      <c r="F927" s="4">
        <v>118.20726728083847</v>
      </c>
      <c r="G927" s="3">
        <v>926</v>
      </c>
    </row>
    <row r="928" spans="6:7" x14ac:dyDescent="0.3">
      <c r="F928" s="4">
        <v>79.480446012972735</v>
      </c>
      <c r="G928" s="10">
        <v>927</v>
      </c>
    </row>
    <row r="929" spans="6:7" x14ac:dyDescent="0.3">
      <c r="F929" s="4">
        <v>98.199739857261136</v>
      </c>
      <c r="G929" s="3">
        <v>928</v>
      </c>
    </row>
    <row r="930" spans="6:7" x14ac:dyDescent="0.3">
      <c r="F930" s="4">
        <v>123.27235031552297</v>
      </c>
      <c r="G930" s="10">
        <v>929</v>
      </c>
    </row>
    <row r="931" spans="6:7" x14ac:dyDescent="0.3">
      <c r="F931" s="4">
        <v>80.285535253054945</v>
      </c>
      <c r="G931" s="3">
        <v>930</v>
      </c>
    </row>
    <row r="932" spans="6:7" x14ac:dyDescent="0.3">
      <c r="F932" s="4">
        <v>104.84070884010858</v>
      </c>
      <c r="G932" s="10">
        <v>931</v>
      </c>
    </row>
    <row r="933" spans="6:7" x14ac:dyDescent="0.3">
      <c r="F933" s="4">
        <v>91.543264362778089</v>
      </c>
      <c r="G933" s="3">
        <v>932</v>
      </c>
    </row>
    <row r="934" spans="6:7" x14ac:dyDescent="0.3">
      <c r="F934" s="4">
        <v>107.52624473685277</v>
      </c>
      <c r="G934" s="10">
        <v>933</v>
      </c>
    </row>
    <row r="935" spans="6:7" x14ac:dyDescent="0.3">
      <c r="F935" s="4">
        <v>135.18854531435235</v>
      </c>
      <c r="G935" s="3">
        <v>934</v>
      </c>
    </row>
    <row r="936" spans="6:7" x14ac:dyDescent="0.3">
      <c r="F936" s="4">
        <v>79.927805138042473</v>
      </c>
      <c r="G936" s="10">
        <v>935</v>
      </c>
    </row>
    <row r="937" spans="6:7" x14ac:dyDescent="0.3">
      <c r="F937" s="4">
        <v>111.37429822086817</v>
      </c>
      <c r="G937" s="3">
        <v>936</v>
      </c>
    </row>
    <row r="938" spans="6:7" x14ac:dyDescent="0.3">
      <c r="F938" s="4">
        <v>114.39294588714078</v>
      </c>
      <c r="G938" s="10">
        <v>937</v>
      </c>
    </row>
    <row r="939" spans="6:7" x14ac:dyDescent="0.3">
      <c r="F939" s="4">
        <v>109.49544522224126</v>
      </c>
      <c r="G939" s="3">
        <v>938</v>
      </c>
    </row>
    <row r="940" spans="6:7" x14ac:dyDescent="0.3">
      <c r="F940" s="4">
        <v>121.67719361446804</v>
      </c>
      <c r="G940" s="10">
        <v>939</v>
      </c>
    </row>
    <row r="941" spans="6:7" x14ac:dyDescent="0.3">
      <c r="F941" s="4">
        <v>120.88963938942761</v>
      </c>
      <c r="G941" s="3">
        <v>940</v>
      </c>
    </row>
    <row r="942" spans="6:7" x14ac:dyDescent="0.3">
      <c r="F942" s="4">
        <v>100.26558344776525</v>
      </c>
      <c r="G942" s="10">
        <v>941</v>
      </c>
    </row>
    <row r="943" spans="6:7" x14ac:dyDescent="0.3">
      <c r="F943" s="4">
        <v>128.26116790621978</v>
      </c>
      <c r="G943" s="3">
        <v>942</v>
      </c>
    </row>
    <row r="944" spans="6:7" x14ac:dyDescent="0.3">
      <c r="F944" s="4">
        <v>125.75197113024711</v>
      </c>
      <c r="G944" s="10">
        <v>943</v>
      </c>
    </row>
    <row r="945" spans="6:7" x14ac:dyDescent="0.3">
      <c r="F945" s="4">
        <v>91.756573868645702</v>
      </c>
      <c r="G945" s="3">
        <v>944</v>
      </c>
    </row>
    <row r="946" spans="6:7" x14ac:dyDescent="0.3">
      <c r="F946" s="4">
        <v>100.90332248713469</v>
      </c>
      <c r="G946" s="10">
        <v>945</v>
      </c>
    </row>
    <row r="947" spans="6:7" x14ac:dyDescent="0.3">
      <c r="F947" s="4">
        <v>83.331555396201693</v>
      </c>
      <c r="G947" s="3">
        <v>946</v>
      </c>
    </row>
    <row r="948" spans="6:7" x14ac:dyDescent="0.3">
      <c r="F948" s="4">
        <v>85.572697506864557</v>
      </c>
      <c r="G948" s="10">
        <v>947</v>
      </c>
    </row>
    <row r="949" spans="6:7" x14ac:dyDescent="0.3">
      <c r="F949" s="4">
        <v>83.485246913634725</v>
      </c>
      <c r="G949" s="3">
        <v>948</v>
      </c>
    </row>
    <row r="950" spans="6:7" x14ac:dyDescent="0.3">
      <c r="F950" s="4">
        <v>121.04738817094305</v>
      </c>
      <c r="G950" s="10">
        <v>949</v>
      </c>
    </row>
    <row r="951" spans="6:7" x14ac:dyDescent="0.3">
      <c r="F951" s="4">
        <v>81.961721172243273</v>
      </c>
      <c r="G951" s="3">
        <v>950</v>
      </c>
    </row>
    <row r="952" spans="6:7" x14ac:dyDescent="0.3">
      <c r="F952" s="4">
        <v>110.17730322379944</v>
      </c>
      <c r="G952" s="10">
        <v>951</v>
      </c>
    </row>
    <row r="953" spans="6:7" x14ac:dyDescent="0.3">
      <c r="F953" s="4">
        <v>79.025400998711405</v>
      </c>
      <c r="G953" s="3">
        <v>952</v>
      </c>
    </row>
    <row r="954" spans="6:7" x14ac:dyDescent="0.3">
      <c r="F954" s="4">
        <v>80.46790933882771</v>
      </c>
      <c r="G954" s="10">
        <v>953</v>
      </c>
    </row>
    <row r="955" spans="6:7" x14ac:dyDescent="0.3">
      <c r="F955" s="4">
        <v>132.23760202078759</v>
      </c>
      <c r="G955" s="3">
        <v>954</v>
      </c>
    </row>
    <row r="956" spans="6:7" x14ac:dyDescent="0.3">
      <c r="F956" s="4">
        <v>125.64322845631604</v>
      </c>
      <c r="G956" s="10">
        <v>955</v>
      </c>
    </row>
    <row r="957" spans="6:7" x14ac:dyDescent="0.3">
      <c r="F957" s="4">
        <v>120.07020001389165</v>
      </c>
      <c r="G957" s="3">
        <v>956</v>
      </c>
    </row>
    <row r="958" spans="6:7" x14ac:dyDescent="0.3">
      <c r="F958" s="4">
        <v>102.06349873082205</v>
      </c>
      <c r="G958" s="10">
        <v>957</v>
      </c>
    </row>
    <row r="959" spans="6:7" x14ac:dyDescent="0.3">
      <c r="F959" s="4">
        <v>84.51667543392503</v>
      </c>
      <c r="G959" s="3">
        <v>958</v>
      </c>
    </row>
    <row r="960" spans="6:7" x14ac:dyDescent="0.3">
      <c r="F960" s="4">
        <v>137.00760257465441</v>
      </c>
      <c r="G960" s="10">
        <v>959</v>
      </c>
    </row>
    <row r="961" spans="6:7" x14ac:dyDescent="0.3">
      <c r="F961" s="4">
        <v>97.500360703109152</v>
      </c>
      <c r="G961" s="3">
        <v>960</v>
      </c>
    </row>
    <row r="962" spans="6:7" x14ac:dyDescent="0.3">
      <c r="F962" s="4">
        <v>120.78634371897684</v>
      </c>
      <c r="G962" s="10">
        <v>961</v>
      </c>
    </row>
    <row r="963" spans="6:7" x14ac:dyDescent="0.3">
      <c r="F963" s="4">
        <v>92.60976125952844</v>
      </c>
      <c r="G963" s="3">
        <v>962</v>
      </c>
    </row>
    <row r="964" spans="6:7" x14ac:dyDescent="0.3">
      <c r="F964" s="4">
        <v>98.927075255128955</v>
      </c>
      <c r="G964" s="10">
        <v>963</v>
      </c>
    </row>
    <row r="965" spans="6:7" x14ac:dyDescent="0.3">
      <c r="F965" s="4">
        <v>105.13346229516799</v>
      </c>
      <c r="G965" s="3">
        <v>964</v>
      </c>
    </row>
    <row r="966" spans="6:7" x14ac:dyDescent="0.3">
      <c r="F966" s="4">
        <v>79.368072325000128</v>
      </c>
      <c r="G966" s="10">
        <v>965</v>
      </c>
    </row>
    <row r="967" spans="6:7" x14ac:dyDescent="0.3">
      <c r="F967" s="4">
        <v>117.82326219906022</v>
      </c>
      <c r="G967" s="3">
        <v>966</v>
      </c>
    </row>
    <row r="968" spans="6:7" x14ac:dyDescent="0.3">
      <c r="F968" s="4">
        <v>119.43369944186522</v>
      </c>
      <c r="G968" s="10">
        <v>967</v>
      </c>
    </row>
    <row r="969" spans="6:7" x14ac:dyDescent="0.3">
      <c r="F969" s="4">
        <v>152.10466117532218</v>
      </c>
      <c r="G969" s="3">
        <v>968</v>
      </c>
    </row>
    <row r="970" spans="6:7" x14ac:dyDescent="0.3">
      <c r="F970" s="4">
        <v>124.17880803777217</v>
      </c>
      <c r="G970" s="10">
        <v>969</v>
      </c>
    </row>
    <row r="971" spans="6:7" x14ac:dyDescent="0.3">
      <c r="F971" s="4">
        <v>102.16078146011405</v>
      </c>
      <c r="G971" s="3">
        <v>970</v>
      </c>
    </row>
    <row r="972" spans="6:7" x14ac:dyDescent="0.3">
      <c r="F972" s="4">
        <v>95.122770816948687</v>
      </c>
      <c r="G972" s="10">
        <v>971</v>
      </c>
    </row>
    <row r="973" spans="6:7" x14ac:dyDescent="0.3">
      <c r="F973" s="4">
        <v>106.03333870383936</v>
      </c>
      <c r="G973" s="3">
        <v>972</v>
      </c>
    </row>
    <row r="974" spans="6:7" x14ac:dyDescent="0.3">
      <c r="F974" s="4">
        <v>103.44831849410809</v>
      </c>
      <c r="G974" s="10">
        <v>973</v>
      </c>
    </row>
    <row r="975" spans="6:7" x14ac:dyDescent="0.3">
      <c r="F975" s="4">
        <v>118.42952242057999</v>
      </c>
      <c r="G975" s="3">
        <v>974</v>
      </c>
    </row>
    <row r="976" spans="6:7" x14ac:dyDescent="0.3">
      <c r="F976" s="4">
        <v>79.995877118736885</v>
      </c>
      <c r="G976" s="10">
        <v>975</v>
      </c>
    </row>
    <row r="977" spans="6:7" x14ac:dyDescent="0.3">
      <c r="F977" s="4">
        <v>79.90351032187813</v>
      </c>
      <c r="G977" s="3">
        <v>976</v>
      </c>
    </row>
    <row r="978" spans="6:7" x14ac:dyDescent="0.3">
      <c r="F978" s="4">
        <v>101.57766647861281</v>
      </c>
      <c r="G978" s="10">
        <v>977</v>
      </c>
    </row>
    <row r="979" spans="6:7" x14ac:dyDescent="0.3">
      <c r="F979" s="4">
        <v>84.695827956961125</v>
      </c>
      <c r="G979" s="3">
        <v>978</v>
      </c>
    </row>
    <row r="980" spans="6:7" x14ac:dyDescent="0.3">
      <c r="F980" s="4">
        <v>120.73456163513113</v>
      </c>
      <c r="G980" s="10">
        <v>979</v>
      </c>
    </row>
    <row r="981" spans="6:7" x14ac:dyDescent="0.3">
      <c r="F981" s="4">
        <v>118.73439151436084</v>
      </c>
      <c r="G981" s="3">
        <v>980</v>
      </c>
    </row>
    <row r="982" spans="6:7" x14ac:dyDescent="0.3">
      <c r="F982" s="4">
        <v>165.35138563829162</v>
      </c>
      <c r="G982" s="10">
        <v>981</v>
      </c>
    </row>
    <row r="983" spans="6:7" x14ac:dyDescent="0.3">
      <c r="F983" s="4">
        <v>97.674655250550288</v>
      </c>
      <c r="G983" s="3">
        <v>982</v>
      </c>
    </row>
    <row r="984" spans="6:7" x14ac:dyDescent="0.3">
      <c r="F984" s="4">
        <v>89.507601505615227</v>
      </c>
      <c r="G984" s="10">
        <v>983</v>
      </c>
    </row>
    <row r="985" spans="6:7" x14ac:dyDescent="0.3">
      <c r="F985" s="4">
        <v>92.201152466580169</v>
      </c>
      <c r="G985" s="3">
        <v>984</v>
      </c>
    </row>
    <row r="986" spans="6:7" x14ac:dyDescent="0.3">
      <c r="F986" s="4">
        <v>151.11115445080247</v>
      </c>
      <c r="G986" s="10">
        <v>985</v>
      </c>
    </row>
    <row r="987" spans="6:7" x14ac:dyDescent="0.3">
      <c r="F987" s="4">
        <v>107.56902825769062</v>
      </c>
      <c r="G987" s="3">
        <v>986</v>
      </c>
    </row>
    <row r="988" spans="6:7" x14ac:dyDescent="0.3">
      <c r="F988" s="4">
        <v>78.732267412989756</v>
      </c>
      <c r="G988" s="10">
        <v>987</v>
      </c>
    </row>
    <row r="989" spans="6:7" x14ac:dyDescent="0.3">
      <c r="F989" s="4">
        <v>110.5033837241932</v>
      </c>
      <c r="G989" s="3">
        <v>988</v>
      </c>
    </row>
    <row r="990" spans="6:7" x14ac:dyDescent="0.3">
      <c r="F990" s="4">
        <v>211.09241392438602</v>
      </c>
      <c r="G990" s="10">
        <v>989</v>
      </c>
    </row>
    <row r="991" spans="6:7" x14ac:dyDescent="0.3">
      <c r="F991" s="4">
        <v>109.7305832065816</v>
      </c>
      <c r="G991" s="3">
        <v>990</v>
      </c>
    </row>
    <row r="992" spans="6:7" x14ac:dyDescent="0.3">
      <c r="F992" s="4">
        <v>90.706127722188057</v>
      </c>
      <c r="G992" s="10">
        <v>991</v>
      </c>
    </row>
    <row r="993" spans="6:7" x14ac:dyDescent="0.3">
      <c r="F993" s="4">
        <v>87.944784711247749</v>
      </c>
      <c r="G993" s="3">
        <v>992</v>
      </c>
    </row>
    <row r="994" spans="6:7" x14ac:dyDescent="0.3">
      <c r="F994" s="4">
        <v>114.46640946291157</v>
      </c>
      <c r="G994" s="10">
        <v>993</v>
      </c>
    </row>
    <row r="995" spans="6:7" x14ac:dyDescent="0.3">
      <c r="F995" s="4">
        <v>95.131850359835937</v>
      </c>
      <c r="G995" s="3">
        <v>994</v>
      </c>
    </row>
    <row r="996" spans="6:7" x14ac:dyDescent="0.3">
      <c r="F996" s="4">
        <v>79.57583170429838</v>
      </c>
      <c r="G996" s="10">
        <v>995</v>
      </c>
    </row>
    <row r="997" spans="6:7" x14ac:dyDescent="0.3">
      <c r="F997" s="4">
        <v>189.47739580598451</v>
      </c>
      <c r="G997" s="3">
        <v>996</v>
      </c>
    </row>
    <row r="998" spans="6:7" x14ac:dyDescent="0.3">
      <c r="F998" s="4">
        <v>102.58970612681686</v>
      </c>
      <c r="G998" s="10">
        <v>997</v>
      </c>
    </row>
    <row r="999" spans="6:7" x14ac:dyDescent="0.3">
      <c r="F999" s="4">
        <v>97.443485393739081</v>
      </c>
      <c r="G999" s="3">
        <v>998</v>
      </c>
    </row>
    <row r="1000" spans="6:7" x14ac:dyDescent="0.3">
      <c r="F1000" s="4">
        <v>80.521300531214308</v>
      </c>
      <c r="G1000" s="10">
        <v>999</v>
      </c>
    </row>
    <row r="1001" spans="6:7" x14ac:dyDescent="0.3">
      <c r="F1001" s="19">
        <v>85.146736056747486</v>
      </c>
      <c r="G1001" s="9">
        <v>1000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7DAD-0F1B-40F5-B109-2BF3BA4D4DDB}">
  <sheetPr codeName="Sheet3">
    <tabColor rgb="FF00B050"/>
  </sheetPr>
  <dimension ref="A1:G1001"/>
  <sheetViews>
    <sheetView tabSelected="1" workbookViewId="0">
      <selection activeCell="E14" sqref="E14"/>
    </sheetView>
  </sheetViews>
  <sheetFormatPr defaultRowHeight="14.4" x14ac:dyDescent="0.3"/>
  <cols>
    <col min="1" max="1" width="7.5546875" bestFit="1" customWidth="1"/>
    <col min="2" max="2" width="20.21875" bestFit="1" customWidth="1"/>
    <col min="3" max="3" width="12.44140625" customWidth="1"/>
    <col min="5" max="5" width="13.5546875" bestFit="1" customWidth="1"/>
    <col min="6" max="6" width="26.88671875" bestFit="1" customWidth="1"/>
    <col min="7" max="7" width="13.21875" bestFit="1" customWidth="1"/>
  </cols>
  <sheetData>
    <row r="1" spans="1:7" ht="15.6" x14ac:dyDescent="0.3">
      <c r="A1" s="29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29" t="s">
        <v>5</v>
      </c>
      <c r="G1" s="31" t="s">
        <v>6</v>
      </c>
    </row>
    <row r="2" spans="1:7" x14ac:dyDescent="0.3">
      <c r="A2" s="32">
        <v>100</v>
      </c>
      <c r="B2" s="33">
        <v>0.08</v>
      </c>
      <c r="C2" s="33">
        <v>0.3</v>
      </c>
      <c r="D2" s="33">
        <v>0.03</v>
      </c>
      <c r="E2" s="23">
        <v>80</v>
      </c>
      <c r="F2" s="37">
        <v>149.21972164940044</v>
      </c>
      <c r="G2" s="38">
        <v>1</v>
      </c>
    </row>
    <row r="3" spans="1:7" x14ac:dyDescent="0.3">
      <c r="F3" s="39">
        <v>103.14918055601952</v>
      </c>
      <c r="G3" s="40">
        <v>2</v>
      </c>
    </row>
    <row r="4" spans="1:7" x14ac:dyDescent="0.3">
      <c r="A4" s="34" t="s">
        <v>24</v>
      </c>
      <c r="B4" s="34" t="s">
        <v>12</v>
      </c>
      <c r="C4" s="34" t="s">
        <v>26</v>
      </c>
      <c r="F4" s="39">
        <v>138.42050685647428</v>
      </c>
      <c r="G4" s="38">
        <v>3</v>
      </c>
    </row>
    <row r="5" spans="1:7" x14ac:dyDescent="0.3">
      <c r="A5" s="35">
        <v>1</v>
      </c>
      <c r="B5" s="35">
        <f>COUNTIF(F2:F1001,"&gt;80")</f>
        <v>1000</v>
      </c>
      <c r="C5" s="47">
        <f>B5/1000</f>
        <v>1</v>
      </c>
      <c r="F5" s="39">
        <v>91.767618785522927</v>
      </c>
      <c r="G5" s="40">
        <v>4</v>
      </c>
    </row>
    <row r="6" spans="1:7" x14ac:dyDescent="0.3">
      <c r="A6" s="35">
        <v>2</v>
      </c>
      <c r="B6" s="35">
        <f>1000-B5</f>
        <v>0</v>
      </c>
      <c r="C6" s="47">
        <f>B6/1000</f>
        <v>0</v>
      </c>
      <c r="F6" s="39">
        <v>87.096993814834917</v>
      </c>
      <c r="G6" s="38">
        <v>5</v>
      </c>
    </row>
    <row r="7" spans="1:7" x14ac:dyDescent="0.3">
      <c r="F7" s="39">
        <v>114.97508721770112</v>
      </c>
      <c r="G7" s="40">
        <v>6</v>
      </c>
    </row>
    <row r="8" spans="1:7" x14ac:dyDescent="0.3">
      <c r="F8" s="39">
        <v>173.64793388987772</v>
      </c>
      <c r="G8" s="38">
        <v>7</v>
      </c>
    </row>
    <row r="9" spans="1:7" x14ac:dyDescent="0.3">
      <c r="F9" s="39">
        <v>114.50873323201272</v>
      </c>
      <c r="G9" s="40">
        <v>8</v>
      </c>
    </row>
    <row r="10" spans="1:7" x14ac:dyDescent="0.3">
      <c r="F10" s="39">
        <v>101.64508670082526</v>
      </c>
      <c r="G10" s="38">
        <v>9</v>
      </c>
    </row>
    <row r="11" spans="1:7" x14ac:dyDescent="0.3">
      <c r="F11" s="39">
        <v>90.28110082493032</v>
      </c>
      <c r="G11" s="40">
        <v>10</v>
      </c>
    </row>
    <row r="12" spans="1:7" x14ac:dyDescent="0.3">
      <c r="A12" s="34" t="s">
        <v>7</v>
      </c>
      <c r="B12" s="34" t="s">
        <v>9</v>
      </c>
      <c r="C12" s="34" t="s">
        <v>23</v>
      </c>
      <c r="F12" s="39">
        <v>90.90323797278927</v>
      </c>
      <c r="G12" s="38">
        <v>11</v>
      </c>
    </row>
    <row r="13" spans="1:7" ht="15.6" x14ac:dyDescent="0.3">
      <c r="A13" s="46">
        <v>1</v>
      </c>
      <c r="B13" s="43" t="s">
        <v>14</v>
      </c>
      <c r="C13" s="44">
        <f>AVERAGE(Table18[[Valeur du Portefeuille ]])</f>
        <v>109.34700275297445</v>
      </c>
      <c r="F13" s="39">
        <v>91.755486175166794</v>
      </c>
      <c r="G13" s="40">
        <v>12</v>
      </c>
    </row>
    <row r="14" spans="1:7" ht="15.6" x14ac:dyDescent="0.3">
      <c r="A14" s="46">
        <v>2</v>
      </c>
      <c r="B14" s="43" t="s">
        <v>15</v>
      </c>
      <c r="C14" s="44">
        <f>MIN(Table18[[Valeur du Portefeuille ]])</f>
        <v>80.915903248959879</v>
      </c>
      <c r="F14" s="39">
        <v>84.718923090110863</v>
      </c>
      <c r="G14" s="38">
        <v>13</v>
      </c>
    </row>
    <row r="15" spans="1:7" ht="15.6" x14ac:dyDescent="0.3">
      <c r="A15" s="46">
        <v>3</v>
      </c>
      <c r="B15" s="43" t="s">
        <v>16</v>
      </c>
      <c r="C15" s="44">
        <f>MAX(Table18[[Valeur du Portefeuille ]])</f>
        <v>657.85655124011055</v>
      </c>
      <c r="F15" s="39">
        <v>151.47818931235651</v>
      </c>
      <c r="G15" s="40">
        <v>14</v>
      </c>
    </row>
    <row r="16" spans="1:7" ht="15.6" x14ac:dyDescent="0.3">
      <c r="A16" s="46">
        <v>4</v>
      </c>
      <c r="B16" s="43" t="s">
        <v>17</v>
      </c>
      <c r="C16" s="44">
        <f>_xlfn.STDEV.S(Table18[[Valeur du Portefeuille ]])</f>
        <v>48.079581879105298</v>
      </c>
      <c r="F16" s="39">
        <v>92.611458548984018</v>
      </c>
      <c r="G16" s="38">
        <v>15</v>
      </c>
    </row>
    <row r="17" spans="1:7" ht="15.6" x14ac:dyDescent="0.3">
      <c r="A17" s="46">
        <v>5</v>
      </c>
      <c r="B17" s="43" t="s">
        <v>10</v>
      </c>
      <c r="C17" s="45">
        <f>COUNTIF(F2:F1001,"&gt;80")</f>
        <v>1000</v>
      </c>
      <c r="F17" s="39">
        <v>85.635012979809616</v>
      </c>
      <c r="G17" s="40">
        <v>16</v>
      </c>
    </row>
    <row r="18" spans="1:7" ht="15.6" x14ac:dyDescent="0.3">
      <c r="A18" s="46">
        <v>6</v>
      </c>
      <c r="B18" s="43" t="s">
        <v>11</v>
      </c>
      <c r="C18" s="46" t="str">
        <f>IF(F1001&gt;80," Oui","Non")</f>
        <v xml:space="preserve"> Oui</v>
      </c>
      <c r="F18" s="39">
        <v>87.953207436691741</v>
      </c>
      <c r="G18" s="38">
        <v>17</v>
      </c>
    </row>
    <row r="19" spans="1:7" ht="15.6" x14ac:dyDescent="0.3">
      <c r="A19" s="46">
        <v>7</v>
      </c>
      <c r="B19" s="43" t="s">
        <v>18</v>
      </c>
      <c r="C19" s="44">
        <f>MEDIAN(Table18[[Valeur du Portefeuille ]])</f>
        <v>94.716531728863714</v>
      </c>
      <c r="F19" s="39">
        <v>140.88780471165472</v>
      </c>
      <c r="G19" s="40">
        <v>18</v>
      </c>
    </row>
    <row r="20" spans="1:7" ht="15.6" x14ac:dyDescent="0.3">
      <c r="A20" s="46">
        <v>8</v>
      </c>
      <c r="B20" s="43" t="s">
        <v>19</v>
      </c>
      <c r="C20" s="45">
        <v>1000</v>
      </c>
      <c r="F20" s="39">
        <v>106.91019704651264</v>
      </c>
      <c r="G20" s="38">
        <v>19</v>
      </c>
    </row>
    <row r="21" spans="1:7" ht="15.6" x14ac:dyDescent="0.3">
      <c r="A21" s="46">
        <v>9</v>
      </c>
      <c r="B21" s="43" t="s">
        <v>20</v>
      </c>
      <c r="C21" s="44" cm="1">
        <f t="array" ref="C21">(C13-Table17[rf])/C16</f>
        <v>2.2736679164109383</v>
      </c>
      <c r="F21" s="39">
        <v>91.418005112157715</v>
      </c>
      <c r="G21" s="40">
        <v>20</v>
      </c>
    </row>
    <row r="22" spans="1:7" ht="15.6" x14ac:dyDescent="0.3">
      <c r="A22" s="46">
        <v>10</v>
      </c>
      <c r="B22" s="43" t="s">
        <v>21</v>
      </c>
      <c r="C22" s="44">
        <f>C13-_xlfn.NORM.S.INV(0.95)*C16</f>
        <v>30.263128116817853</v>
      </c>
      <c r="F22" s="39">
        <v>126.26362949473878</v>
      </c>
      <c r="G22" s="38">
        <v>21</v>
      </c>
    </row>
    <row r="23" spans="1:7" ht="15.6" x14ac:dyDescent="0.3">
      <c r="A23" s="46">
        <v>11</v>
      </c>
      <c r="B23" s="43" t="s">
        <v>22</v>
      </c>
      <c r="C23" s="44">
        <f>C13 - C16 * _xlfn.NORM.S.DIST(_xlfn.NORM.S.INV(0.05), TRUE) / 0.05</f>
        <v>61.267420873869142</v>
      </c>
      <c r="F23" s="39">
        <v>85.935841540248944</v>
      </c>
      <c r="G23" s="40">
        <v>22</v>
      </c>
    </row>
    <row r="24" spans="1:7" x14ac:dyDescent="0.3">
      <c r="F24" s="39">
        <v>103.71555842839672</v>
      </c>
      <c r="G24" s="38">
        <v>23</v>
      </c>
    </row>
    <row r="25" spans="1:7" x14ac:dyDescent="0.3">
      <c r="F25" s="39">
        <v>86.592789327045125</v>
      </c>
      <c r="G25" s="40">
        <v>24</v>
      </c>
    </row>
    <row r="26" spans="1:7" x14ac:dyDescent="0.3">
      <c r="F26" s="39">
        <v>148.26053416509251</v>
      </c>
      <c r="G26" s="38">
        <v>25</v>
      </c>
    </row>
    <row r="27" spans="1:7" x14ac:dyDescent="0.3">
      <c r="F27" s="39">
        <v>134.77054785566048</v>
      </c>
      <c r="G27" s="40">
        <v>26</v>
      </c>
    </row>
    <row r="28" spans="1:7" x14ac:dyDescent="0.3">
      <c r="F28" s="39">
        <v>148.8554426732365</v>
      </c>
      <c r="G28" s="38">
        <v>27</v>
      </c>
    </row>
    <row r="29" spans="1:7" x14ac:dyDescent="0.3">
      <c r="F29" s="39">
        <v>344.70164153597761</v>
      </c>
      <c r="G29" s="40">
        <v>28</v>
      </c>
    </row>
    <row r="30" spans="1:7" x14ac:dyDescent="0.3">
      <c r="F30" s="39">
        <v>86.186346046432675</v>
      </c>
      <c r="G30" s="38">
        <v>29</v>
      </c>
    </row>
    <row r="31" spans="1:7" x14ac:dyDescent="0.3">
      <c r="F31" s="39">
        <v>81.773975373239253</v>
      </c>
      <c r="G31" s="40">
        <v>30</v>
      </c>
    </row>
    <row r="32" spans="1:7" x14ac:dyDescent="0.3">
      <c r="F32" s="39">
        <v>92.519307312380164</v>
      </c>
      <c r="G32" s="38">
        <v>31</v>
      </c>
    </row>
    <row r="33" spans="6:7" x14ac:dyDescent="0.3">
      <c r="F33" s="39">
        <v>115.32952356074635</v>
      </c>
      <c r="G33" s="40">
        <v>32</v>
      </c>
    </row>
    <row r="34" spans="6:7" x14ac:dyDescent="0.3">
      <c r="F34" s="39">
        <v>90.070432563452997</v>
      </c>
      <c r="G34" s="38">
        <v>33</v>
      </c>
    </row>
    <row r="35" spans="6:7" x14ac:dyDescent="0.3">
      <c r="F35" s="39">
        <v>90.759591739725806</v>
      </c>
      <c r="G35" s="40">
        <v>34</v>
      </c>
    </row>
    <row r="36" spans="6:7" x14ac:dyDescent="0.3">
      <c r="F36" s="39">
        <v>89.20622172517821</v>
      </c>
      <c r="G36" s="38">
        <v>35</v>
      </c>
    </row>
    <row r="37" spans="6:7" x14ac:dyDescent="0.3">
      <c r="F37" s="39">
        <v>89.769992077006236</v>
      </c>
      <c r="G37" s="40">
        <v>36</v>
      </c>
    </row>
    <row r="38" spans="6:7" x14ac:dyDescent="0.3">
      <c r="F38" s="39">
        <v>87.893839185611895</v>
      </c>
      <c r="G38" s="38">
        <v>37</v>
      </c>
    </row>
    <row r="39" spans="6:7" x14ac:dyDescent="0.3">
      <c r="F39" s="39">
        <v>116.37237026950183</v>
      </c>
      <c r="G39" s="40">
        <v>38</v>
      </c>
    </row>
    <row r="40" spans="6:7" x14ac:dyDescent="0.3">
      <c r="F40" s="39">
        <v>134.64878998837202</v>
      </c>
      <c r="G40" s="38">
        <v>39</v>
      </c>
    </row>
    <row r="41" spans="6:7" x14ac:dyDescent="0.3">
      <c r="F41" s="39">
        <v>83.671383921088449</v>
      </c>
      <c r="G41" s="40">
        <v>40</v>
      </c>
    </row>
    <row r="42" spans="6:7" x14ac:dyDescent="0.3">
      <c r="F42" s="39">
        <v>103.51046235916218</v>
      </c>
      <c r="G42" s="38">
        <v>41</v>
      </c>
    </row>
    <row r="43" spans="6:7" x14ac:dyDescent="0.3">
      <c r="F43" s="39">
        <v>83.460148791204077</v>
      </c>
      <c r="G43" s="40">
        <v>42</v>
      </c>
    </row>
    <row r="44" spans="6:7" x14ac:dyDescent="0.3">
      <c r="F44" s="39">
        <v>85.543455415865878</v>
      </c>
      <c r="G44" s="38">
        <v>43</v>
      </c>
    </row>
    <row r="45" spans="6:7" x14ac:dyDescent="0.3">
      <c r="F45" s="39">
        <v>99.153785920357407</v>
      </c>
      <c r="G45" s="40">
        <v>44</v>
      </c>
    </row>
    <row r="46" spans="6:7" x14ac:dyDescent="0.3">
      <c r="F46" s="39">
        <v>95.191558243538239</v>
      </c>
      <c r="G46" s="38">
        <v>45</v>
      </c>
    </row>
    <row r="47" spans="6:7" x14ac:dyDescent="0.3">
      <c r="F47" s="39">
        <v>123.74896757015549</v>
      </c>
      <c r="G47" s="40">
        <v>46</v>
      </c>
    </row>
    <row r="48" spans="6:7" x14ac:dyDescent="0.3">
      <c r="F48" s="39">
        <v>82.052667660319955</v>
      </c>
      <c r="G48" s="38">
        <v>47</v>
      </c>
    </row>
    <row r="49" spans="6:7" x14ac:dyDescent="0.3">
      <c r="F49" s="39">
        <v>139.22776373031905</v>
      </c>
      <c r="G49" s="40">
        <v>48</v>
      </c>
    </row>
    <row r="50" spans="6:7" x14ac:dyDescent="0.3">
      <c r="F50" s="39">
        <v>81.81521725736792</v>
      </c>
      <c r="G50" s="38">
        <v>49</v>
      </c>
    </row>
    <row r="51" spans="6:7" x14ac:dyDescent="0.3">
      <c r="F51" s="39">
        <v>106.0570051095636</v>
      </c>
      <c r="G51" s="40">
        <v>50</v>
      </c>
    </row>
    <row r="52" spans="6:7" x14ac:dyDescent="0.3">
      <c r="F52" s="39">
        <v>93.997723086531465</v>
      </c>
      <c r="G52" s="38">
        <v>51</v>
      </c>
    </row>
    <row r="53" spans="6:7" x14ac:dyDescent="0.3">
      <c r="F53" s="39">
        <v>127.38987764173575</v>
      </c>
      <c r="G53" s="40">
        <v>52</v>
      </c>
    </row>
    <row r="54" spans="6:7" x14ac:dyDescent="0.3">
      <c r="F54" s="39">
        <v>657.85655124011055</v>
      </c>
      <c r="G54" s="38">
        <v>53</v>
      </c>
    </row>
    <row r="55" spans="6:7" x14ac:dyDescent="0.3">
      <c r="F55" s="39">
        <v>85.698189747980479</v>
      </c>
      <c r="G55" s="40">
        <v>54</v>
      </c>
    </row>
    <row r="56" spans="6:7" x14ac:dyDescent="0.3">
      <c r="F56" s="39">
        <v>126.32049177395264</v>
      </c>
      <c r="G56" s="38">
        <v>55</v>
      </c>
    </row>
    <row r="57" spans="6:7" x14ac:dyDescent="0.3">
      <c r="F57" s="39">
        <v>84.587358776083732</v>
      </c>
      <c r="G57" s="40">
        <v>56</v>
      </c>
    </row>
    <row r="58" spans="6:7" x14ac:dyDescent="0.3">
      <c r="F58" s="39">
        <v>88.956586862836645</v>
      </c>
      <c r="G58" s="38">
        <v>57</v>
      </c>
    </row>
    <row r="59" spans="6:7" x14ac:dyDescent="0.3">
      <c r="F59" s="39">
        <v>91.3564291524373</v>
      </c>
      <c r="G59" s="40">
        <v>58</v>
      </c>
    </row>
    <row r="60" spans="6:7" x14ac:dyDescent="0.3">
      <c r="F60" s="39">
        <v>141.79973022425733</v>
      </c>
      <c r="G60" s="38">
        <v>59</v>
      </c>
    </row>
    <row r="61" spans="6:7" x14ac:dyDescent="0.3">
      <c r="F61" s="39">
        <v>159.08165080480035</v>
      </c>
      <c r="G61" s="40">
        <v>60</v>
      </c>
    </row>
    <row r="62" spans="6:7" x14ac:dyDescent="0.3">
      <c r="F62" s="39">
        <v>85.722492107272728</v>
      </c>
      <c r="G62" s="38">
        <v>61</v>
      </c>
    </row>
    <row r="63" spans="6:7" x14ac:dyDescent="0.3">
      <c r="F63" s="39">
        <v>81.415433773824944</v>
      </c>
      <c r="G63" s="40">
        <v>62</v>
      </c>
    </row>
    <row r="64" spans="6:7" x14ac:dyDescent="0.3">
      <c r="F64" s="39">
        <v>142.21159879527687</v>
      </c>
      <c r="G64" s="38">
        <v>63</v>
      </c>
    </row>
    <row r="65" spans="6:7" x14ac:dyDescent="0.3">
      <c r="F65" s="39">
        <v>111.93141260996686</v>
      </c>
      <c r="G65" s="40">
        <v>64</v>
      </c>
    </row>
    <row r="66" spans="6:7" x14ac:dyDescent="0.3">
      <c r="F66" s="39">
        <v>83.339641067526998</v>
      </c>
      <c r="G66" s="38">
        <v>65</v>
      </c>
    </row>
    <row r="67" spans="6:7" x14ac:dyDescent="0.3">
      <c r="F67" s="39">
        <v>86.753260081123145</v>
      </c>
      <c r="G67" s="40">
        <v>66</v>
      </c>
    </row>
    <row r="68" spans="6:7" x14ac:dyDescent="0.3">
      <c r="F68" s="39">
        <v>114.43232956028231</v>
      </c>
      <c r="G68" s="38">
        <v>67</v>
      </c>
    </row>
    <row r="69" spans="6:7" x14ac:dyDescent="0.3">
      <c r="F69" s="39">
        <v>84.306413486810641</v>
      </c>
      <c r="G69" s="40">
        <v>68</v>
      </c>
    </row>
    <row r="70" spans="6:7" x14ac:dyDescent="0.3">
      <c r="F70" s="39">
        <v>88.662520460100055</v>
      </c>
      <c r="G70" s="38">
        <v>69</v>
      </c>
    </row>
    <row r="71" spans="6:7" x14ac:dyDescent="0.3">
      <c r="F71" s="39">
        <v>90.199668372467912</v>
      </c>
      <c r="G71" s="40">
        <v>70</v>
      </c>
    </row>
    <row r="72" spans="6:7" x14ac:dyDescent="0.3">
      <c r="F72" s="39">
        <v>208.63885324187567</v>
      </c>
      <c r="G72" s="38">
        <v>71</v>
      </c>
    </row>
    <row r="73" spans="6:7" x14ac:dyDescent="0.3">
      <c r="F73" s="39">
        <v>83.375833684085009</v>
      </c>
      <c r="G73" s="40">
        <v>72</v>
      </c>
    </row>
    <row r="74" spans="6:7" x14ac:dyDescent="0.3">
      <c r="F74" s="39">
        <v>253.71422767069282</v>
      </c>
      <c r="G74" s="38">
        <v>73</v>
      </c>
    </row>
    <row r="75" spans="6:7" x14ac:dyDescent="0.3">
      <c r="F75" s="39">
        <v>84.428649330836706</v>
      </c>
      <c r="G75" s="40">
        <v>74</v>
      </c>
    </row>
    <row r="76" spans="6:7" x14ac:dyDescent="0.3">
      <c r="F76" s="39">
        <v>90.793065428231557</v>
      </c>
      <c r="G76" s="38">
        <v>75</v>
      </c>
    </row>
    <row r="77" spans="6:7" x14ac:dyDescent="0.3">
      <c r="F77" s="39">
        <v>81.712113097945547</v>
      </c>
      <c r="G77" s="40">
        <v>76</v>
      </c>
    </row>
    <row r="78" spans="6:7" x14ac:dyDescent="0.3">
      <c r="F78" s="39">
        <v>94.483274422918385</v>
      </c>
      <c r="G78" s="38">
        <v>77</v>
      </c>
    </row>
    <row r="79" spans="6:7" x14ac:dyDescent="0.3">
      <c r="F79" s="39">
        <v>85.045351408792612</v>
      </c>
      <c r="G79" s="40">
        <v>78</v>
      </c>
    </row>
    <row r="80" spans="6:7" x14ac:dyDescent="0.3">
      <c r="F80" s="39">
        <v>99.300647122570339</v>
      </c>
      <c r="G80" s="38">
        <v>79</v>
      </c>
    </row>
    <row r="81" spans="6:7" x14ac:dyDescent="0.3">
      <c r="F81" s="39">
        <v>82.384606708534733</v>
      </c>
      <c r="G81" s="40">
        <v>80</v>
      </c>
    </row>
    <row r="82" spans="6:7" x14ac:dyDescent="0.3">
      <c r="F82" s="39">
        <v>82.913378820270822</v>
      </c>
      <c r="G82" s="38">
        <v>81</v>
      </c>
    </row>
    <row r="83" spans="6:7" x14ac:dyDescent="0.3">
      <c r="F83" s="39">
        <v>93.232822431953437</v>
      </c>
      <c r="G83" s="40">
        <v>82</v>
      </c>
    </row>
    <row r="84" spans="6:7" x14ac:dyDescent="0.3">
      <c r="F84" s="39">
        <v>101.67956706042871</v>
      </c>
      <c r="G84" s="38">
        <v>83</v>
      </c>
    </row>
    <row r="85" spans="6:7" x14ac:dyDescent="0.3">
      <c r="F85" s="39">
        <v>114.53499893236777</v>
      </c>
      <c r="G85" s="40">
        <v>84</v>
      </c>
    </row>
    <row r="86" spans="6:7" x14ac:dyDescent="0.3">
      <c r="F86" s="39">
        <v>122.69873650464102</v>
      </c>
      <c r="G86" s="38">
        <v>85</v>
      </c>
    </row>
    <row r="87" spans="6:7" x14ac:dyDescent="0.3">
      <c r="F87" s="39">
        <v>85.182751550672094</v>
      </c>
      <c r="G87" s="40">
        <v>86</v>
      </c>
    </row>
    <row r="88" spans="6:7" x14ac:dyDescent="0.3">
      <c r="F88" s="39">
        <v>85.341892233019593</v>
      </c>
      <c r="G88" s="38">
        <v>87</v>
      </c>
    </row>
    <row r="89" spans="6:7" x14ac:dyDescent="0.3">
      <c r="F89" s="39">
        <v>131.05697058220323</v>
      </c>
      <c r="G89" s="40">
        <v>88</v>
      </c>
    </row>
    <row r="90" spans="6:7" x14ac:dyDescent="0.3">
      <c r="F90" s="39">
        <v>92.309685968788841</v>
      </c>
      <c r="G90" s="38">
        <v>89</v>
      </c>
    </row>
    <row r="91" spans="6:7" x14ac:dyDescent="0.3">
      <c r="F91" s="39">
        <v>127.8381329973968</v>
      </c>
      <c r="G91" s="40">
        <v>90</v>
      </c>
    </row>
    <row r="92" spans="6:7" x14ac:dyDescent="0.3">
      <c r="F92" s="39">
        <v>91.593284317529495</v>
      </c>
      <c r="G92" s="38">
        <v>91</v>
      </c>
    </row>
    <row r="93" spans="6:7" x14ac:dyDescent="0.3">
      <c r="F93" s="39">
        <v>102.28633671717029</v>
      </c>
      <c r="G93" s="40">
        <v>92</v>
      </c>
    </row>
    <row r="94" spans="6:7" x14ac:dyDescent="0.3">
      <c r="F94" s="39">
        <v>91.96624536712531</v>
      </c>
      <c r="G94" s="38">
        <v>93</v>
      </c>
    </row>
    <row r="95" spans="6:7" x14ac:dyDescent="0.3">
      <c r="F95" s="39">
        <v>116.38448404272913</v>
      </c>
      <c r="G95" s="40">
        <v>94</v>
      </c>
    </row>
    <row r="96" spans="6:7" x14ac:dyDescent="0.3">
      <c r="F96" s="39">
        <v>81.113351240326423</v>
      </c>
      <c r="G96" s="38">
        <v>95</v>
      </c>
    </row>
    <row r="97" spans="6:7" x14ac:dyDescent="0.3">
      <c r="F97" s="39">
        <v>90.281151125116395</v>
      </c>
      <c r="G97" s="40">
        <v>96</v>
      </c>
    </row>
    <row r="98" spans="6:7" x14ac:dyDescent="0.3">
      <c r="F98" s="39">
        <v>83.429788558441587</v>
      </c>
      <c r="G98" s="38">
        <v>97</v>
      </c>
    </row>
    <row r="99" spans="6:7" x14ac:dyDescent="0.3">
      <c r="F99" s="39">
        <v>81.444005116896136</v>
      </c>
      <c r="G99" s="40">
        <v>98</v>
      </c>
    </row>
    <row r="100" spans="6:7" x14ac:dyDescent="0.3">
      <c r="F100" s="39">
        <v>82.084212766425637</v>
      </c>
      <c r="G100" s="38">
        <v>99</v>
      </c>
    </row>
    <row r="101" spans="6:7" x14ac:dyDescent="0.3">
      <c r="F101" s="39">
        <v>100.20359115270762</v>
      </c>
      <c r="G101" s="40">
        <v>100</v>
      </c>
    </row>
    <row r="102" spans="6:7" x14ac:dyDescent="0.3">
      <c r="F102" s="39">
        <v>220.98484274140696</v>
      </c>
      <c r="G102" s="38">
        <v>101</v>
      </c>
    </row>
    <row r="103" spans="6:7" x14ac:dyDescent="0.3">
      <c r="F103" s="39">
        <v>93.405961240980929</v>
      </c>
      <c r="G103" s="40">
        <v>102</v>
      </c>
    </row>
    <row r="104" spans="6:7" x14ac:dyDescent="0.3">
      <c r="F104" s="39">
        <v>89.533672780000245</v>
      </c>
      <c r="G104" s="38">
        <v>103</v>
      </c>
    </row>
    <row r="105" spans="6:7" x14ac:dyDescent="0.3">
      <c r="F105" s="39">
        <v>89.132409543862593</v>
      </c>
      <c r="G105" s="40">
        <v>104</v>
      </c>
    </row>
    <row r="106" spans="6:7" x14ac:dyDescent="0.3">
      <c r="F106" s="39">
        <v>86.118393048835799</v>
      </c>
      <c r="G106" s="38">
        <v>105</v>
      </c>
    </row>
    <row r="107" spans="6:7" x14ac:dyDescent="0.3">
      <c r="F107" s="39">
        <v>105.3921360905216</v>
      </c>
      <c r="G107" s="40">
        <v>106</v>
      </c>
    </row>
    <row r="108" spans="6:7" x14ac:dyDescent="0.3">
      <c r="F108" s="39">
        <v>132.04525663578988</v>
      </c>
      <c r="G108" s="38">
        <v>107</v>
      </c>
    </row>
    <row r="109" spans="6:7" x14ac:dyDescent="0.3">
      <c r="F109" s="39">
        <v>85.116864037702641</v>
      </c>
      <c r="G109" s="40">
        <v>108</v>
      </c>
    </row>
    <row r="110" spans="6:7" x14ac:dyDescent="0.3">
      <c r="F110" s="39">
        <v>192.38288924869133</v>
      </c>
      <c r="G110" s="38">
        <v>109</v>
      </c>
    </row>
    <row r="111" spans="6:7" x14ac:dyDescent="0.3">
      <c r="F111" s="39">
        <v>92.647324803178321</v>
      </c>
      <c r="G111" s="40">
        <v>110</v>
      </c>
    </row>
    <row r="112" spans="6:7" x14ac:dyDescent="0.3">
      <c r="F112" s="39">
        <v>129.57128948007892</v>
      </c>
      <c r="G112" s="38">
        <v>111</v>
      </c>
    </row>
    <row r="113" spans="6:7" x14ac:dyDescent="0.3">
      <c r="F113" s="39">
        <v>84.101565824194395</v>
      </c>
      <c r="G113" s="40">
        <v>112</v>
      </c>
    </row>
    <row r="114" spans="6:7" x14ac:dyDescent="0.3">
      <c r="F114" s="39">
        <v>119.97225141000477</v>
      </c>
      <c r="G114" s="38">
        <v>113</v>
      </c>
    </row>
    <row r="115" spans="6:7" x14ac:dyDescent="0.3">
      <c r="F115" s="39">
        <v>100.81250499177168</v>
      </c>
      <c r="G115" s="40">
        <v>114</v>
      </c>
    </row>
    <row r="116" spans="6:7" x14ac:dyDescent="0.3">
      <c r="F116" s="39">
        <v>132.24206230804504</v>
      </c>
      <c r="G116" s="38">
        <v>115</v>
      </c>
    </row>
    <row r="117" spans="6:7" x14ac:dyDescent="0.3">
      <c r="F117" s="39">
        <v>261.98455968194401</v>
      </c>
      <c r="G117" s="40">
        <v>116</v>
      </c>
    </row>
    <row r="118" spans="6:7" x14ac:dyDescent="0.3">
      <c r="F118" s="39">
        <v>87.548274885088261</v>
      </c>
      <c r="G118" s="38">
        <v>117</v>
      </c>
    </row>
    <row r="119" spans="6:7" x14ac:dyDescent="0.3">
      <c r="F119" s="39">
        <v>90.081880134953337</v>
      </c>
      <c r="G119" s="40">
        <v>118</v>
      </c>
    </row>
    <row r="120" spans="6:7" x14ac:dyDescent="0.3">
      <c r="F120" s="39">
        <v>93.231323832112196</v>
      </c>
      <c r="G120" s="38">
        <v>119</v>
      </c>
    </row>
    <row r="121" spans="6:7" x14ac:dyDescent="0.3">
      <c r="F121" s="39">
        <v>153.29821063352875</v>
      </c>
      <c r="G121" s="40">
        <v>120</v>
      </c>
    </row>
    <row r="122" spans="6:7" x14ac:dyDescent="0.3">
      <c r="F122" s="39">
        <v>90.635194111353997</v>
      </c>
      <c r="G122" s="38">
        <v>121</v>
      </c>
    </row>
    <row r="123" spans="6:7" x14ac:dyDescent="0.3">
      <c r="F123" s="39">
        <v>85.261855183569452</v>
      </c>
      <c r="G123" s="40">
        <v>122</v>
      </c>
    </row>
    <row r="124" spans="6:7" x14ac:dyDescent="0.3">
      <c r="F124" s="39">
        <v>120.85931520623058</v>
      </c>
      <c r="G124" s="38">
        <v>123</v>
      </c>
    </row>
    <row r="125" spans="6:7" x14ac:dyDescent="0.3">
      <c r="F125" s="39">
        <v>94.465505871820312</v>
      </c>
      <c r="G125" s="40">
        <v>124</v>
      </c>
    </row>
    <row r="126" spans="6:7" x14ac:dyDescent="0.3">
      <c r="F126" s="39">
        <v>88.39989331654391</v>
      </c>
      <c r="G126" s="38">
        <v>125</v>
      </c>
    </row>
    <row r="127" spans="6:7" x14ac:dyDescent="0.3">
      <c r="F127" s="39">
        <v>95.634098628906457</v>
      </c>
      <c r="G127" s="40">
        <v>126</v>
      </c>
    </row>
    <row r="128" spans="6:7" x14ac:dyDescent="0.3">
      <c r="F128" s="39">
        <v>96.07042509428554</v>
      </c>
      <c r="G128" s="38">
        <v>127</v>
      </c>
    </row>
    <row r="129" spans="6:7" x14ac:dyDescent="0.3">
      <c r="F129" s="39">
        <v>94.411545973356752</v>
      </c>
      <c r="G129" s="40">
        <v>128</v>
      </c>
    </row>
    <row r="130" spans="6:7" x14ac:dyDescent="0.3">
      <c r="F130" s="39">
        <v>99.316423065082517</v>
      </c>
      <c r="G130" s="38">
        <v>129</v>
      </c>
    </row>
    <row r="131" spans="6:7" x14ac:dyDescent="0.3">
      <c r="F131" s="39">
        <v>119.43104610613966</v>
      </c>
      <c r="G131" s="40">
        <v>130</v>
      </c>
    </row>
    <row r="132" spans="6:7" x14ac:dyDescent="0.3">
      <c r="F132" s="39">
        <v>88.083518554082403</v>
      </c>
      <c r="G132" s="38">
        <v>131</v>
      </c>
    </row>
    <row r="133" spans="6:7" x14ac:dyDescent="0.3">
      <c r="F133" s="39">
        <v>94.166065258700186</v>
      </c>
      <c r="G133" s="40">
        <v>132</v>
      </c>
    </row>
    <row r="134" spans="6:7" x14ac:dyDescent="0.3">
      <c r="F134" s="39">
        <v>125.13069592542988</v>
      </c>
      <c r="G134" s="38">
        <v>133</v>
      </c>
    </row>
    <row r="135" spans="6:7" x14ac:dyDescent="0.3">
      <c r="F135" s="39">
        <v>120.44546688627223</v>
      </c>
      <c r="G135" s="40">
        <v>134</v>
      </c>
    </row>
    <row r="136" spans="6:7" x14ac:dyDescent="0.3">
      <c r="F136" s="39">
        <v>96.775630020333537</v>
      </c>
      <c r="G136" s="38">
        <v>135</v>
      </c>
    </row>
    <row r="137" spans="6:7" x14ac:dyDescent="0.3">
      <c r="F137" s="39">
        <v>140.14923857939732</v>
      </c>
      <c r="G137" s="40">
        <v>136</v>
      </c>
    </row>
    <row r="138" spans="6:7" x14ac:dyDescent="0.3">
      <c r="F138" s="39">
        <v>89.148106684318719</v>
      </c>
      <c r="G138" s="38">
        <v>137</v>
      </c>
    </row>
    <row r="139" spans="6:7" x14ac:dyDescent="0.3">
      <c r="F139" s="39">
        <v>83.58834755763813</v>
      </c>
      <c r="G139" s="40">
        <v>138</v>
      </c>
    </row>
    <row r="140" spans="6:7" x14ac:dyDescent="0.3">
      <c r="F140" s="39">
        <v>84.455706537456649</v>
      </c>
      <c r="G140" s="38">
        <v>139</v>
      </c>
    </row>
    <row r="141" spans="6:7" x14ac:dyDescent="0.3">
      <c r="F141" s="39">
        <v>130.81663121675564</v>
      </c>
      <c r="G141" s="40">
        <v>140</v>
      </c>
    </row>
    <row r="142" spans="6:7" x14ac:dyDescent="0.3">
      <c r="F142" s="39">
        <v>159.14487709664911</v>
      </c>
      <c r="G142" s="38">
        <v>141</v>
      </c>
    </row>
    <row r="143" spans="6:7" x14ac:dyDescent="0.3">
      <c r="F143" s="39">
        <v>109.7125349821132</v>
      </c>
      <c r="G143" s="40">
        <v>142</v>
      </c>
    </row>
    <row r="144" spans="6:7" x14ac:dyDescent="0.3">
      <c r="F144" s="39">
        <v>81.701183427139597</v>
      </c>
      <c r="G144" s="38">
        <v>143</v>
      </c>
    </row>
    <row r="145" spans="6:7" x14ac:dyDescent="0.3">
      <c r="F145" s="39">
        <v>102.09690933212981</v>
      </c>
      <c r="G145" s="40">
        <v>144</v>
      </c>
    </row>
    <row r="146" spans="6:7" x14ac:dyDescent="0.3">
      <c r="F146" s="39">
        <v>87.574445382517226</v>
      </c>
      <c r="G146" s="38">
        <v>145</v>
      </c>
    </row>
    <row r="147" spans="6:7" x14ac:dyDescent="0.3">
      <c r="F147" s="39">
        <v>103.78593487084147</v>
      </c>
      <c r="G147" s="40">
        <v>146</v>
      </c>
    </row>
    <row r="148" spans="6:7" x14ac:dyDescent="0.3">
      <c r="F148" s="39">
        <v>101.7795637601135</v>
      </c>
      <c r="G148" s="38">
        <v>147</v>
      </c>
    </row>
    <row r="149" spans="6:7" x14ac:dyDescent="0.3">
      <c r="F149" s="39">
        <v>97.798744018834029</v>
      </c>
      <c r="G149" s="40">
        <v>148</v>
      </c>
    </row>
    <row r="150" spans="6:7" x14ac:dyDescent="0.3">
      <c r="F150" s="39">
        <v>87.170884871264008</v>
      </c>
      <c r="G150" s="38">
        <v>149</v>
      </c>
    </row>
    <row r="151" spans="6:7" x14ac:dyDescent="0.3">
      <c r="F151" s="39">
        <v>95.956206040742188</v>
      </c>
      <c r="G151" s="40">
        <v>150</v>
      </c>
    </row>
    <row r="152" spans="6:7" x14ac:dyDescent="0.3">
      <c r="F152" s="39">
        <v>135.37909901281114</v>
      </c>
      <c r="G152" s="38">
        <v>151</v>
      </c>
    </row>
    <row r="153" spans="6:7" x14ac:dyDescent="0.3">
      <c r="F153" s="39">
        <v>87.158851192109807</v>
      </c>
      <c r="G153" s="40">
        <v>152</v>
      </c>
    </row>
    <row r="154" spans="6:7" x14ac:dyDescent="0.3">
      <c r="F154" s="39">
        <v>132.77084459635614</v>
      </c>
      <c r="G154" s="38">
        <v>153</v>
      </c>
    </row>
    <row r="155" spans="6:7" x14ac:dyDescent="0.3">
      <c r="F155" s="39">
        <v>108.14762343262896</v>
      </c>
      <c r="G155" s="40">
        <v>154</v>
      </c>
    </row>
    <row r="156" spans="6:7" x14ac:dyDescent="0.3">
      <c r="F156" s="39">
        <v>90.129582472712769</v>
      </c>
      <c r="G156" s="38">
        <v>155</v>
      </c>
    </row>
    <row r="157" spans="6:7" x14ac:dyDescent="0.3">
      <c r="F157" s="39">
        <v>105.43385996392863</v>
      </c>
      <c r="G157" s="40">
        <v>156</v>
      </c>
    </row>
    <row r="158" spans="6:7" x14ac:dyDescent="0.3">
      <c r="F158" s="39">
        <v>83.730862184711341</v>
      </c>
      <c r="G158" s="38">
        <v>157</v>
      </c>
    </row>
    <row r="159" spans="6:7" x14ac:dyDescent="0.3">
      <c r="F159" s="39">
        <v>81.062865563642347</v>
      </c>
      <c r="G159" s="40">
        <v>158</v>
      </c>
    </row>
    <row r="160" spans="6:7" x14ac:dyDescent="0.3">
      <c r="F160" s="39">
        <v>183.70450785033256</v>
      </c>
      <c r="G160" s="38">
        <v>159</v>
      </c>
    </row>
    <row r="161" spans="6:7" x14ac:dyDescent="0.3">
      <c r="F161" s="39">
        <v>81.456029760176961</v>
      </c>
      <c r="G161" s="40">
        <v>160</v>
      </c>
    </row>
    <row r="162" spans="6:7" x14ac:dyDescent="0.3">
      <c r="F162" s="39">
        <v>177.04018070841516</v>
      </c>
      <c r="G162" s="38">
        <v>161</v>
      </c>
    </row>
    <row r="163" spans="6:7" x14ac:dyDescent="0.3">
      <c r="F163" s="39">
        <v>95.679736422870278</v>
      </c>
      <c r="G163" s="40">
        <v>162</v>
      </c>
    </row>
    <row r="164" spans="6:7" x14ac:dyDescent="0.3">
      <c r="F164" s="39">
        <v>122.02495702602322</v>
      </c>
      <c r="G164" s="38">
        <v>163</v>
      </c>
    </row>
    <row r="165" spans="6:7" x14ac:dyDescent="0.3">
      <c r="F165" s="39">
        <v>83.89540906982819</v>
      </c>
      <c r="G165" s="40">
        <v>164</v>
      </c>
    </row>
    <row r="166" spans="6:7" x14ac:dyDescent="0.3">
      <c r="F166" s="39">
        <v>98.067525385434692</v>
      </c>
      <c r="G166" s="38">
        <v>165</v>
      </c>
    </row>
    <row r="167" spans="6:7" x14ac:dyDescent="0.3">
      <c r="F167" s="39">
        <v>82.168167008910132</v>
      </c>
      <c r="G167" s="40">
        <v>166</v>
      </c>
    </row>
    <row r="168" spans="6:7" x14ac:dyDescent="0.3">
      <c r="F168" s="39">
        <v>100.35734534906234</v>
      </c>
      <c r="G168" s="38">
        <v>167</v>
      </c>
    </row>
    <row r="169" spans="6:7" x14ac:dyDescent="0.3">
      <c r="F169" s="39">
        <v>85.307763767725504</v>
      </c>
      <c r="G169" s="40">
        <v>168</v>
      </c>
    </row>
    <row r="170" spans="6:7" x14ac:dyDescent="0.3">
      <c r="F170" s="39">
        <v>97.474091344471987</v>
      </c>
      <c r="G170" s="38">
        <v>169</v>
      </c>
    </row>
    <row r="171" spans="6:7" x14ac:dyDescent="0.3">
      <c r="F171" s="39">
        <v>136.93124824457556</v>
      </c>
      <c r="G171" s="40">
        <v>170</v>
      </c>
    </row>
    <row r="172" spans="6:7" x14ac:dyDescent="0.3">
      <c r="F172" s="39">
        <v>118.31079128626544</v>
      </c>
      <c r="G172" s="38">
        <v>171</v>
      </c>
    </row>
    <row r="173" spans="6:7" x14ac:dyDescent="0.3">
      <c r="F173" s="39">
        <v>166.97738445718363</v>
      </c>
      <c r="G173" s="40">
        <v>172</v>
      </c>
    </row>
    <row r="174" spans="6:7" x14ac:dyDescent="0.3">
      <c r="F174" s="39">
        <v>96.504342895588948</v>
      </c>
      <c r="G174" s="38">
        <v>173</v>
      </c>
    </row>
    <row r="175" spans="6:7" x14ac:dyDescent="0.3">
      <c r="F175" s="39">
        <v>113.63628784360739</v>
      </c>
      <c r="G175" s="40">
        <v>174</v>
      </c>
    </row>
    <row r="176" spans="6:7" x14ac:dyDescent="0.3">
      <c r="F176" s="39">
        <v>87.468663273529046</v>
      </c>
      <c r="G176" s="38">
        <v>175</v>
      </c>
    </row>
    <row r="177" spans="6:7" x14ac:dyDescent="0.3">
      <c r="F177" s="39">
        <v>87.979169669350682</v>
      </c>
      <c r="G177" s="40">
        <v>176</v>
      </c>
    </row>
    <row r="178" spans="6:7" x14ac:dyDescent="0.3">
      <c r="F178" s="39">
        <v>88.40270544192316</v>
      </c>
      <c r="G178" s="38">
        <v>177</v>
      </c>
    </row>
    <row r="179" spans="6:7" x14ac:dyDescent="0.3">
      <c r="F179" s="39">
        <v>99.003766059939281</v>
      </c>
      <c r="G179" s="40">
        <v>178</v>
      </c>
    </row>
    <row r="180" spans="6:7" x14ac:dyDescent="0.3">
      <c r="F180" s="39">
        <v>83.489949808022416</v>
      </c>
      <c r="G180" s="38">
        <v>179</v>
      </c>
    </row>
    <row r="181" spans="6:7" x14ac:dyDescent="0.3">
      <c r="F181" s="39">
        <v>99.978655003560789</v>
      </c>
      <c r="G181" s="40">
        <v>180</v>
      </c>
    </row>
    <row r="182" spans="6:7" x14ac:dyDescent="0.3">
      <c r="F182" s="39">
        <v>83.743118057296442</v>
      </c>
      <c r="G182" s="38">
        <v>181</v>
      </c>
    </row>
    <row r="183" spans="6:7" x14ac:dyDescent="0.3">
      <c r="F183" s="39">
        <v>156.99439475185326</v>
      </c>
      <c r="G183" s="40">
        <v>182</v>
      </c>
    </row>
    <row r="184" spans="6:7" x14ac:dyDescent="0.3">
      <c r="F184" s="39">
        <v>141.04205851750237</v>
      </c>
      <c r="G184" s="38">
        <v>183</v>
      </c>
    </row>
    <row r="185" spans="6:7" x14ac:dyDescent="0.3">
      <c r="F185" s="39">
        <v>92.363407748721812</v>
      </c>
      <c r="G185" s="40">
        <v>184</v>
      </c>
    </row>
    <row r="186" spans="6:7" x14ac:dyDescent="0.3">
      <c r="F186" s="39">
        <v>107.17824564810211</v>
      </c>
      <c r="G186" s="38">
        <v>185</v>
      </c>
    </row>
    <row r="187" spans="6:7" x14ac:dyDescent="0.3">
      <c r="F187" s="39">
        <v>112.27080676935302</v>
      </c>
      <c r="G187" s="40">
        <v>186</v>
      </c>
    </row>
    <row r="188" spans="6:7" x14ac:dyDescent="0.3">
      <c r="F188" s="39">
        <v>160.35576689979118</v>
      </c>
      <c r="G188" s="38">
        <v>187</v>
      </c>
    </row>
    <row r="189" spans="6:7" x14ac:dyDescent="0.3">
      <c r="F189" s="39">
        <v>88.433461087827155</v>
      </c>
      <c r="G189" s="40">
        <v>188</v>
      </c>
    </row>
    <row r="190" spans="6:7" x14ac:dyDescent="0.3">
      <c r="F190" s="39">
        <v>111.3944369473132</v>
      </c>
      <c r="G190" s="38">
        <v>189</v>
      </c>
    </row>
    <row r="191" spans="6:7" x14ac:dyDescent="0.3">
      <c r="F191" s="39">
        <v>102.17545842593761</v>
      </c>
      <c r="G191" s="40">
        <v>190</v>
      </c>
    </row>
    <row r="192" spans="6:7" x14ac:dyDescent="0.3">
      <c r="F192" s="39">
        <v>336.44110851165294</v>
      </c>
      <c r="G192" s="38">
        <v>191</v>
      </c>
    </row>
    <row r="193" spans="6:7" x14ac:dyDescent="0.3">
      <c r="F193" s="39">
        <v>90.72101824619817</v>
      </c>
      <c r="G193" s="40">
        <v>192</v>
      </c>
    </row>
    <row r="194" spans="6:7" x14ac:dyDescent="0.3">
      <c r="F194" s="39">
        <v>100.29426666422276</v>
      </c>
      <c r="G194" s="38">
        <v>193</v>
      </c>
    </row>
    <row r="195" spans="6:7" x14ac:dyDescent="0.3">
      <c r="F195" s="39">
        <v>93.05924205436952</v>
      </c>
      <c r="G195" s="40">
        <v>194</v>
      </c>
    </row>
    <row r="196" spans="6:7" x14ac:dyDescent="0.3">
      <c r="F196" s="39">
        <v>100.21089956444669</v>
      </c>
      <c r="G196" s="38">
        <v>195</v>
      </c>
    </row>
    <row r="197" spans="6:7" x14ac:dyDescent="0.3">
      <c r="F197" s="39">
        <v>94.191499917712122</v>
      </c>
      <c r="G197" s="40">
        <v>196</v>
      </c>
    </row>
    <row r="198" spans="6:7" x14ac:dyDescent="0.3">
      <c r="F198" s="39">
        <v>88.839479953415889</v>
      </c>
      <c r="G198" s="38">
        <v>197</v>
      </c>
    </row>
    <row r="199" spans="6:7" x14ac:dyDescent="0.3">
      <c r="F199" s="39">
        <v>86.589584187200671</v>
      </c>
      <c r="G199" s="40">
        <v>198</v>
      </c>
    </row>
    <row r="200" spans="6:7" x14ac:dyDescent="0.3">
      <c r="F200" s="39">
        <v>95.242714979656824</v>
      </c>
      <c r="G200" s="38">
        <v>199</v>
      </c>
    </row>
    <row r="201" spans="6:7" x14ac:dyDescent="0.3">
      <c r="F201" s="39">
        <v>86.922872801029143</v>
      </c>
      <c r="G201" s="40">
        <v>200</v>
      </c>
    </row>
    <row r="202" spans="6:7" x14ac:dyDescent="0.3">
      <c r="F202" s="39">
        <v>106.50438393238201</v>
      </c>
      <c r="G202" s="38">
        <v>201</v>
      </c>
    </row>
    <row r="203" spans="6:7" x14ac:dyDescent="0.3">
      <c r="F203" s="39">
        <v>81.444964324357414</v>
      </c>
      <c r="G203" s="40">
        <v>202</v>
      </c>
    </row>
    <row r="204" spans="6:7" x14ac:dyDescent="0.3">
      <c r="F204" s="39">
        <v>115.23420457838985</v>
      </c>
      <c r="G204" s="38">
        <v>203</v>
      </c>
    </row>
    <row r="205" spans="6:7" x14ac:dyDescent="0.3">
      <c r="F205" s="39">
        <v>159.96480395517239</v>
      </c>
      <c r="G205" s="40">
        <v>204</v>
      </c>
    </row>
    <row r="206" spans="6:7" x14ac:dyDescent="0.3">
      <c r="F206" s="39">
        <v>87.994432635793345</v>
      </c>
      <c r="G206" s="38">
        <v>205</v>
      </c>
    </row>
    <row r="207" spans="6:7" x14ac:dyDescent="0.3">
      <c r="F207" s="39">
        <v>82.846173248480923</v>
      </c>
      <c r="G207" s="40">
        <v>206</v>
      </c>
    </row>
    <row r="208" spans="6:7" x14ac:dyDescent="0.3">
      <c r="F208" s="39">
        <v>123.01139220834425</v>
      </c>
      <c r="G208" s="38">
        <v>207</v>
      </c>
    </row>
    <row r="209" spans="6:7" x14ac:dyDescent="0.3">
      <c r="F209" s="39">
        <v>153.38371387427983</v>
      </c>
      <c r="G209" s="40">
        <v>208</v>
      </c>
    </row>
    <row r="210" spans="6:7" x14ac:dyDescent="0.3">
      <c r="F210" s="39">
        <v>91.173606002421039</v>
      </c>
      <c r="G210" s="38">
        <v>209</v>
      </c>
    </row>
    <row r="211" spans="6:7" x14ac:dyDescent="0.3">
      <c r="F211" s="39">
        <v>100.45383830050743</v>
      </c>
      <c r="G211" s="40">
        <v>210</v>
      </c>
    </row>
    <row r="212" spans="6:7" x14ac:dyDescent="0.3">
      <c r="F212" s="39">
        <v>134.37087200059614</v>
      </c>
      <c r="G212" s="38">
        <v>211</v>
      </c>
    </row>
    <row r="213" spans="6:7" x14ac:dyDescent="0.3">
      <c r="F213" s="39">
        <v>93.38919002547749</v>
      </c>
      <c r="G213" s="40">
        <v>212</v>
      </c>
    </row>
    <row r="214" spans="6:7" x14ac:dyDescent="0.3">
      <c r="F214" s="39">
        <v>310.26131979084107</v>
      </c>
      <c r="G214" s="38">
        <v>213</v>
      </c>
    </row>
    <row r="215" spans="6:7" x14ac:dyDescent="0.3">
      <c r="F215" s="39">
        <v>91.984377453038093</v>
      </c>
      <c r="G215" s="40">
        <v>214</v>
      </c>
    </row>
    <row r="216" spans="6:7" x14ac:dyDescent="0.3">
      <c r="F216" s="39">
        <v>108.899950560319</v>
      </c>
      <c r="G216" s="38">
        <v>215</v>
      </c>
    </row>
    <row r="217" spans="6:7" x14ac:dyDescent="0.3">
      <c r="F217" s="39">
        <v>85.889627985226554</v>
      </c>
      <c r="G217" s="40">
        <v>216</v>
      </c>
    </row>
    <row r="218" spans="6:7" x14ac:dyDescent="0.3">
      <c r="F218" s="39">
        <v>86.921656312752731</v>
      </c>
      <c r="G218" s="38">
        <v>217</v>
      </c>
    </row>
    <row r="219" spans="6:7" x14ac:dyDescent="0.3">
      <c r="F219" s="39">
        <v>91.007056194795069</v>
      </c>
      <c r="G219" s="40">
        <v>218</v>
      </c>
    </row>
    <row r="220" spans="6:7" x14ac:dyDescent="0.3">
      <c r="F220" s="39">
        <v>87.425872437295624</v>
      </c>
      <c r="G220" s="38">
        <v>219</v>
      </c>
    </row>
    <row r="221" spans="6:7" x14ac:dyDescent="0.3">
      <c r="F221" s="39">
        <v>92.066174193588111</v>
      </c>
      <c r="G221" s="40">
        <v>220</v>
      </c>
    </row>
    <row r="222" spans="6:7" x14ac:dyDescent="0.3">
      <c r="F222" s="39">
        <v>82.77175023066512</v>
      </c>
      <c r="G222" s="38">
        <v>221</v>
      </c>
    </row>
    <row r="223" spans="6:7" x14ac:dyDescent="0.3">
      <c r="F223" s="39">
        <v>119.73196807827821</v>
      </c>
      <c r="G223" s="40">
        <v>222</v>
      </c>
    </row>
    <row r="224" spans="6:7" x14ac:dyDescent="0.3">
      <c r="F224" s="39">
        <v>119.95179681406671</v>
      </c>
      <c r="G224" s="38">
        <v>223</v>
      </c>
    </row>
    <row r="225" spans="6:7" x14ac:dyDescent="0.3">
      <c r="F225" s="39">
        <v>82.409645212139964</v>
      </c>
      <c r="G225" s="40">
        <v>224</v>
      </c>
    </row>
    <row r="226" spans="6:7" x14ac:dyDescent="0.3">
      <c r="F226" s="39">
        <v>98.984893311562288</v>
      </c>
      <c r="G226" s="38">
        <v>225</v>
      </c>
    </row>
    <row r="227" spans="6:7" x14ac:dyDescent="0.3">
      <c r="F227" s="39">
        <v>91.451109091670162</v>
      </c>
      <c r="G227" s="40">
        <v>226</v>
      </c>
    </row>
    <row r="228" spans="6:7" x14ac:dyDescent="0.3">
      <c r="F228" s="39">
        <v>84.65468537338333</v>
      </c>
      <c r="G228" s="38">
        <v>227</v>
      </c>
    </row>
    <row r="229" spans="6:7" x14ac:dyDescent="0.3">
      <c r="F229" s="39">
        <v>83.352871773481638</v>
      </c>
      <c r="G229" s="40">
        <v>228</v>
      </c>
    </row>
    <row r="230" spans="6:7" x14ac:dyDescent="0.3">
      <c r="F230" s="39">
        <v>85.5242473575519</v>
      </c>
      <c r="G230" s="38">
        <v>229</v>
      </c>
    </row>
    <row r="231" spans="6:7" x14ac:dyDescent="0.3">
      <c r="F231" s="39">
        <v>320.93048308610173</v>
      </c>
      <c r="G231" s="40">
        <v>230</v>
      </c>
    </row>
    <row r="232" spans="6:7" x14ac:dyDescent="0.3">
      <c r="F232" s="39">
        <v>83.071058098703887</v>
      </c>
      <c r="G232" s="38">
        <v>231</v>
      </c>
    </row>
    <row r="233" spans="6:7" x14ac:dyDescent="0.3">
      <c r="F233" s="39">
        <v>95.184353506391389</v>
      </c>
      <c r="G233" s="40">
        <v>232</v>
      </c>
    </row>
    <row r="234" spans="6:7" x14ac:dyDescent="0.3">
      <c r="F234" s="39">
        <v>83.530777307809998</v>
      </c>
      <c r="G234" s="38">
        <v>233</v>
      </c>
    </row>
    <row r="235" spans="6:7" x14ac:dyDescent="0.3">
      <c r="F235" s="39">
        <v>93.98424789852811</v>
      </c>
      <c r="G235" s="40">
        <v>234</v>
      </c>
    </row>
    <row r="236" spans="6:7" x14ac:dyDescent="0.3">
      <c r="F236" s="39">
        <v>109.56790302806607</v>
      </c>
      <c r="G236" s="38">
        <v>235</v>
      </c>
    </row>
    <row r="237" spans="6:7" x14ac:dyDescent="0.3">
      <c r="F237" s="39">
        <v>127.96513955155072</v>
      </c>
      <c r="G237" s="40">
        <v>236</v>
      </c>
    </row>
    <row r="238" spans="6:7" x14ac:dyDescent="0.3">
      <c r="F238" s="39">
        <v>96.076733691244954</v>
      </c>
      <c r="G238" s="38">
        <v>237</v>
      </c>
    </row>
    <row r="239" spans="6:7" x14ac:dyDescent="0.3">
      <c r="F239" s="39">
        <v>85.553172428324132</v>
      </c>
      <c r="G239" s="40">
        <v>238</v>
      </c>
    </row>
    <row r="240" spans="6:7" x14ac:dyDescent="0.3">
      <c r="F240" s="39">
        <v>88.969798786386832</v>
      </c>
      <c r="G240" s="38">
        <v>239</v>
      </c>
    </row>
    <row r="241" spans="6:7" x14ac:dyDescent="0.3">
      <c r="F241" s="39">
        <v>98.862497250318569</v>
      </c>
      <c r="G241" s="40">
        <v>240</v>
      </c>
    </row>
    <row r="242" spans="6:7" x14ac:dyDescent="0.3">
      <c r="F242" s="39">
        <v>93.131259212480217</v>
      </c>
      <c r="G242" s="38">
        <v>241</v>
      </c>
    </row>
    <row r="243" spans="6:7" x14ac:dyDescent="0.3">
      <c r="F243" s="39">
        <v>156.10731801898078</v>
      </c>
      <c r="G243" s="40">
        <v>242</v>
      </c>
    </row>
    <row r="244" spans="6:7" x14ac:dyDescent="0.3">
      <c r="F244" s="39">
        <v>161.46366724824099</v>
      </c>
      <c r="G244" s="38">
        <v>243</v>
      </c>
    </row>
    <row r="245" spans="6:7" x14ac:dyDescent="0.3">
      <c r="F245" s="39">
        <v>101.78363778294292</v>
      </c>
      <c r="G245" s="40">
        <v>244</v>
      </c>
    </row>
    <row r="246" spans="6:7" x14ac:dyDescent="0.3">
      <c r="F246" s="39">
        <v>97.905368989774686</v>
      </c>
      <c r="G246" s="38">
        <v>245</v>
      </c>
    </row>
    <row r="247" spans="6:7" x14ac:dyDescent="0.3">
      <c r="F247" s="39">
        <v>98.089314138327893</v>
      </c>
      <c r="G247" s="40">
        <v>246</v>
      </c>
    </row>
    <row r="248" spans="6:7" x14ac:dyDescent="0.3">
      <c r="F248" s="39">
        <v>86.485597747843258</v>
      </c>
      <c r="G248" s="38">
        <v>247</v>
      </c>
    </row>
    <row r="249" spans="6:7" x14ac:dyDescent="0.3">
      <c r="F249" s="39">
        <v>89.188496233235952</v>
      </c>
      <c r="G249" s="40">
        <v>248</v>
      </c>
    </row>
    <row r="250" spans="6:7" x14ac:dyDescent="0.3">
      <c r="F250" s="39">
        <v>87.033983516151878</v>
      </c>
      <c r="G250" s="38">
        <v>249</v>
      </c>
    </row>
    <row r="251" spans="6:7" x14ac:dyDescent="0.3">
      <c r="F251" s="39">
        <v>85.40362643727687</v>
      </c>
      <c r="G251" s="40">
        <v>250</v>
      </c>
    </row>
    <row r="252" spans="6:7" x14ac:dyDescent="0.3">
      <c r="F252" s="39">
        <v>91.907446124737405</v>
      </c>
      <c r="G252" s="38">
        <v>251</v>
      </c>
    </row>
    <row r="253" spans="6:7" x14ac:dyDescent="0.3">
      <c r="F253" s="39">
        <v>96.354798753336979</v>
      </c>
      <c r="G253" s="40">
        <v>252</v>
      </c>
    </row>
    <row r="254" spans="6:7" x14ac:dyDescent="0.3">
      <c r="F254" s="39">
        <v>88.374027816530344</v>
      </c>
      <c r="G254" s="38">
        <v>253</v>
      </c>
    </row>
    <row r="255" spans="6:7" x14ac:dyDescent="0.3">
      <c r="F255" s="39">
        <v>82.210168224631744</v>
      </c>
      <c r="G255" s="40">
        <v>254</v>
      </c>
    </row>
    <row r="256" spans="6:7" x14ac:dyDescent="0.3">
      <c r="F256" s="39">
        <v>103.19129598823748</v>
      </c>
      <c r="G256" s="38">
        <v>255</v>
      </c>
    </row>
    <row r="257" spans="6:7" x14ac:dyDescent="0.3">
      <c r="F257" s="39">
        <v>86.599853105726098</v>
      </c>
      <c r="G257" s="40">
        <v>256</v>
      </c>
    </row>
    <row r="258" spans="6:7" x14ac:dyDescent="0.3">
      <c r="F258" s="39">
        <v>89.781451496711895</v>
      </c>
      <c r="G258" s="38">
        <v>257</v>
      </c>
    </row>
    <row r="259" spans="6:7" x14ac:dyDescent="0.3">
      <c r="F259" s="39">
        <v>118.83047967353559</v>
      </c>
      <c r="G259" s="40">
        <v>258</v>
      </c>
    </row>
    <row r="260" spans="6:7" x14ac:dyDescent="0.3">
      <c r="F260" s="39">
        <v>84.810459359313313</v>
      </c>
      <c r="G260" s="38">
        <v>259</v>
      </c>
    </row>
    <row r="261" spans="6:7" x14ac:dyDescent="0.3">
      <c r="F261" s="39">
        <v>103.82930679221876</v>
      </c>
      <c r="G261" s="40">
        <v>260</v>
      </c>
    </row>
    <row r="262" spans="6:7" x14ac:dyDescent="0.3">
      <c r="F262" s="39">
        <v>81.785753132090676</v>
      </c>
      <c r="G262" s="38">
        <v>261</v>
      </c>
    </row>
    <row r="263" spans="6:7" x14ac:dyDescent="0.3">
      <c r="F263" s="39">
        <v>87.319590425851601</v>
      </c>
      <c r="G263" s="40">
        <v>262</v>
      </c>
    </row>
    <row r="264" spans="6:7" x14ac:dyDescent="0.3">
      <c r="F264" s="39">
        <v>136.93874935044119</v>
      </c>
      <c r="G264" s="38">
        <v>263</v>
      </c>
    </row>
    <row r="265" spans="6:7" x14ac:dyDescent="0.3">
      <c r="F265" s="39">
        <v>85.766067128117697</v>
      </c>
      <c r="G265" s="40">
        <v>264</v>
      </c>
    </row>
    <row r="266" spans="6:7" x14ac:dyDescent="0.3">
      <c r="F266" s="39">
        <v>88.450467065451733</v>
      </c>
      <c r="G266" s="38">
        <v>265</v>
      </c>
    </row>
    <row r="267" spans="6:7" x14ac:dyDescent="0.3">
      <c r="F267" s="39">
        <v>97.08455921186976</v>
      </c>
      <c r="G267" s="40">
        <v>266</v>
      </c>
    </row>
    <row r="268" spans="6:7" x14ac:dyDescent="0.3">
      <c r="F268" s="39">
        <v>142.54433890372272</v>
      </c>
      <c r="G268" s="38">
        <v>267</v>
      </c>
    </row>
    <row r="269" spans="6:7" x14ac:dyDescent="0.3">
      <c r="F269" s="39">
        <v>111.89617294868331</v>
      </c>
      <c r="G269" s="40">
        <v>268</v>
      </c>
    </row>
    <row r="270" spans="6:7" x14ac:dyDescent="0.3">
      <c r="F270" s="39">
        <v>103.70091826671705</v>
      </c>
      <c r="G270" s="38">
        <v>269</v>
      </c>
    </row>
    <row r="271" spans="6:7" x14ac:dyDescent="0.3">
      <c r="F271" s="39">
        <v>142.00432335749028</v>
      </c>
      <c r="G271" s="40">
        <v>270</v>
      </c>
    </row>
    <row r="272" spans="6:7" x14ac:dyDescent="0.3">
      <c r="F272" s="39">
        <v>91.921664553293766</v>
      </c>
      <c r="G272" s="38">
        <v>271</v>
      </c>
    </row>
    <row r="273" spans="6:7" x14ac:dyDescent="0.3">
      <c r="F273" s="39">
        <v>107.68486726318876</v>
      </c>
      <c r="G273" s="40">
        <v>272</v>
      </c>
    </row>
    <row r="274" spans="6:7" x14ac:dyDescent="0.3">
      <c r="F274" s="39">
        <v>90.360652737339294</v>
      </c>
      <c r="G274" s="38">
        <v>273</v>
      </c>
    </row>
    <row r="275" spans="6:7" x14ac:dyDescent="0.3">
      <c r="F275" s="39">
        <v>98.180162484600885</v>
      </c>
      <c r="G275" s="40">
        <v>274</v>
      </c>
    </row>
    <row r="276" spans="6:7" x14ac:dyDescent="0.3">
      <c r="F276" s="39">
        <v>101.1123957933026</v>
      </c>
      <c r="G276" s="38">
        <v>275</v>
      </c>
    </row>
    <row r="277" spans="6:7" x14ac:dyDescent="0.3">
      <c r="F277" s="39">
        <v>129.65130621323556</v>
      </c>
      <c r="G277" s="40">
        <v>276</v>
      </c>
    </row>
    <row r="278" spans="6:7" x14ac:dyDescent="0.3">
      <c r="F278" s="39">
        <v>230.64683652466186</v>
      </c>
      <c r="G278" s="38">
        <v>277</v>
      </c>
    </row>
    <row r="279" spans="6:7" x14ac:dyDescent="0.3">
      <c r="F279" s="39">
        <v>83.453141969327774</v>
      </c>
      <c r="G279" s="40">
        <v>278</v>
      </c>
    </row>
    <row r="280" spans="6:7" x14ac:dyDescent="0.3">
      <c r="F280" s="39">
        <v>84.077514223734696</v>
      </c>
      <c r="G280" s="38">
        <v>279</v>
      </c>
    </row>
    <row r="281" spans="6:7" x14ac:dyDescent="0.3">
      <c r="F281" s="39">
        <v>96.041289333461307</v>
      </c>
      <c r="G281" s="40">
        <v>280</v>
      </c>
    </row>
    <row r="282" spans="6:7" x14ac:dyDescent="0.3">
      <c r="F282" s="39">
        <v>85.299300826786236</v>
      </c>
      <c r="G282" s="38">
        <v>281</v>
      </c>
    </row>
    <row r="283" spans="6:7" x14ac:dyDescent="0.3">
      <c r="F283" s="39">
        <v>81.968113570996238</v>
      </c>
      <c r="G283" s="40">
        <v>282</v>
      </c>
    </row>
    <row r="284" spans="6:7" x14ac:dyDescent="0.3">
      <c r="F284" s="39">
        <v>90.755598189527134</v>
      </c>
      <c r="G284" s="38">
        <v>283</v>
      </c>
    </row>
    <row r="285" spans="6:7" x14ac:dyDescent="0.3">
      <c r="F285" s="39">
        <v>89.127881210882876</v>
      </c>
      <c r="G285" s="40">
        <v>284</v>
      </c>
    </row>
    <row r="286" spans="6:7" x14ac:dyDescent="0.3">
      <c r="F286" s="39">
        <v>89.683148082734178</v>
      </c>
      <c r="G286" s="38">
        <v>285</v>
      </c>
    </row>
    <row r="287" spans="6:7" x14ac:dyDescent="0.3">
      <c r="F287" s="39">
        <v>148.18919942893837</v>
      </c>
      <c r="G287" s="40">
        <v>286</v>
      </c>
    </row>
    <row r="288" spans="6:7" x14ac:dyDescent="0.3">
      <c r="F288" s="39">
        <v>81.77978398180673</v>
      </c>
      <c r="G288" s="38">
        <v>287</v>
      </c>
    </row>
    <row r="289" spans="6:7" x14ac:dyDescent="0.3">
      <c r="F289" s="39">
        <v>83.575633404141797</v>
      </c>
      <c r="G289" s="40">
        <v>288</v>
      </c>
    </row>
    <row r="290" spans="6:7" x14ac:dyDescent="0.3">
      <c r="F290" s="39">
        <v>99.631118363025124</v>
      </c>
      <c r="G290" s="38">
        <v>289</v>
      </c>
    </row>
    <row r="291" spans="6:7" x14ac:dyDescent="0.3">
      <c r="F291" s="39">
        <v>93.051099606207572</v>
      </c>
      <c r="G291" s="40">
        <v>290</v>
      </c>
    </row>
    <row r="292" spans="6:7" x14ac:dyDescent="0.3">
      <c r="F292" s="39">
        <v>115.20799741507457</v>
      </c>
      <c r="G292" s="38">
        <v>291</v>
      </c>
    </row>
    <row r="293" spans="6:7" x14ac:dyDescent="0.3">
      <c r="F293" s="39">
        <v>98.176062797143004</v>
      </c>
      <c r="G293" s="40">
        <v>292</v>
      </c>
    </row>
    <row r="294" spans="6:7" x14ac:dyDescent="0.3">
      <c r="F294" s="39">
        <v>82.74915065292447</v>
      </c>
      <c r="G294" s="38">
        <v>293</v>
      </c>
    </row>
    <row r="295" spans="6:7" x14ac:dyDescent="0.3">
      <c r="F295" s="39">
        <v>89.319496772996018</v>
      </c>
      <c r="G295" s="40">
        <v>294</v>
      </c>
    </row>
    <row r="296" spans="6:7" x14ac:dyDescent="0.3">
      <c r="F296" s="39">
        <v>110.82913320034336</v>
      </c>
      <c r="G296" s="38">
        <v>295</v>
      </c>
    </row>
    <row r="297" spans="6:7" x14ac:dyDescent="0.3">
      <c r="F297" s="39">
        <v>89.175817265885669</v>
      </c>
      <c r="G297" s="40">
        <v>296</v>
      </c>
    </row>
    <row r="298" spans="6:7" x14ac:dyDescent="0.3">
      <c r="F298" s="39">
        <v>91.424574967882421</v>
      </c>
      <c r="G298" s="38">
        <v>297</v>
      </c>
    </row>
    <row r="299" spans="6:7" x14ac:dyDescent="0.3">
      <c r="F299" s="39">
        <v>101.32449717395085</v>
      </c>
      <c r="G299" s="40">
        <v>298</v>
      </c>
    </row>
    <row r="300" spans="6:7" x14ac:dyDescent="0.3">
      <c r="F300" s="39">
        <v>92.295849320384733</v>
      </c>
      <c r="G300" s="38">
        <v>299</v>
      </c>
    </row>
    <row r="301" spans="6:7" x14ac:dyDescent="0.3">
      <c r="F301" s="39">
        <v>103.69130489592524</v>
      </c>
      <c r="G301" s="40">
        <v>300</v>
      </c>
    </row>
    <row r="302" spans="6:7" x14ac:dyDescent="0.3">
      <c r="F302" s="39">
        <v>103.73600784325409</v>
      </c>
      <c r="G302" s="38">
        <v>301</v>
      </c>
    </row>
    <row r="303" spans="6:7" x14ac:dyDescent="0.3">
      <c r="F303" s="39">
        <v>104.34918640679766</v>
      </c>
      <c r="G303" s="40">
        <v>302</v>
      </c>
    </row>
    <row r="304" spans="6:7" x14ac:dyDescent="0.3">
      <c r="F304" s="39">
        <v>102.91029855052881</v>
      </c>
      <c r="G304" s="38">
        <v>303</v>
      </c>
    </row>
    <row r="305" spans="6:7" x14ac:dyDescent="0.3">
      <c r="F305" s="39">
        <v>123.48638476656174</v>
      </c>
      <c r="G305" s="40">
        <v>304</v>
      </c>
    </row>
    <row r="306" spans="6:7" x14ac:dyDescent="0.3">
      <c r="F306" s="39">
        <v>94.560717307962875</v>
      </c>
      <c r="G306" s="38">
        <v>305</v>
      </c>
    </row>
    <row r="307" spans="6:7" x14ac:dyDescent="0.3">
      <c r="F307" s="39">
        <v>86.063780477675863</v>
      </c>
      <c r="G307" s="40">
        <v>306</v>
      </c>
    </row>
    <row r="308" spans="6:7" x14ac:dyDescent="0.3">
      <c r="F308" s="39">
        <v>85.038382675536113</v>
      </c>
      <c r="G308" s="38">
        <v>307</v>
      </c>
    </row>
    <row r="309" spans="6:7" x14ac:dyDescent="0.3">
      <c r="F309" s="39">
        <v>98.385860474878029</v>
      </c>
      <c r="G309" s="40">
        <v>308</v>
      </c>
    </row>
    <row r="310" spans="6:7" x14ac:dyDescent="0.3">
      <c r="F310" s="39">
        <v>92.602326832180225</v>
      </c>
      <c r="G310" s="38">
        <v>309</v>
      </c>
    </row>
    <row r="311" spans="6:7" x14ac:dyDescent="0.3">
      <c r="F311" s="39">
        <v>322.56381356061058</v>
      </c>
      <c r="G311" s="40">
        <v>310</v>
      </c>
    </row>
    <row r="312" spans="6:7" x14ac:dyDescent="0.3">
      <c r="F312" s="39">
        <v>144.00985517136468</v>
      </c>
      <c r="G312" s="38">
        <v>311</v>
      </c>
    </row>
    <row r="313" spans="6:7" x14ac:dyDescent="0.3">
      <c r="F313" s="39">
        <v>88.401389175748875</v>
      </c>
      <c r="G313" s="40">
        <v>312</v>
      </c>
    </row>
    <row r="314" spans="6:7" x14ac:dyDescent="0.3">
      <c r="F314" s="39">
        <v>87.952854636641376</v>
      </c>
      <c r="G314" s="38">
        <v>313</v>
      </c>
    </row>
    <row r="315" spans="6:7" x14ac:dyDescent="0.3">
      <c r="F315" s="39">
        <v>99.987200064388176</v>
      </c>
      <c r="G315" s="40">
        <v>314</v>
      </c>
    </row>
    <row r="316" spans="6:7" x14ac:dyDescent="0.3">
      <c r="F316" s="39">
        <v>90.984900465081651</v>
      </c>
      <c r="G316" s="38">
        <v>315</v>
      </c>
    </row>
    <row r="317" spans="6:7" x14ac:dyDescent="0.3">
      <c r="F317" s="39">
        <v>141.36314857508447</v>
      </c>
      <c r="G317" s="40">
        <v>316</v>
      </c>
    </row>
    <row r="318" spans="6:7" x14ac:dyDescent="0.3">
      <c r="F318" s="39">
        <v>95.656596079752603</v>
      </c>
      <c r="G318" s="38">
        <v>317</v>
      </c>
    </row>
    <row r="319" spans="6:7" x14ac:dyDescent="0.3">
      <c r="F319" s="39">
        <v>93.877419792192939</v>
      </c>
      <c r="G319" s="40">
        <v>318</v>
      </c>
    </row>
    <row r="320" spans="6:7" x14ac:dyDescent="0.3">
      <c r="F320" s="39">
        <v>95.869826819116469</v>
      </c>
      <c r="G320" s="38">
        <v>319</v>
      </c>
    </row>
    <row r="321" spans="6:7" x14ac:dyDescent="0.3">
      <c r="F321" s="39">
        <v>84.371166787757787</v>
      </c>
      <c r="G321" s="40">
        <v>320</v>
      </c>
    </row>
    <row r="322" spans="6:7" x14ac:dyDescent="0.3">
      <c r="F322" s="39">
        <v>90.480963217208824</v>
      </c>
      <c r="G322" s="38">
        <v>321</v>
      </c>
    </row>
    <row r="323" spans="6:7" x14ac:dyDescent="0.3">
      <c r="F323" s="39">
        <v>83.231510763360959</v>
      </c>
      <c r="G323" s="40">
        <v>322</v>
      </c>
    </row>
    <row r="324" spans="6:7" x14ac:dyDescent="0.3">
      <c r="F324" s="39">
        <v>100.75234266633323</v>
      </c>
      <c r="G324" s="38">
        <v>323</v>
      </c>
    </row>
    <row r="325" spans="6:7" x14ac:dyDescent="0.3">
      <c r="F325" s="39">
        <v>89.081363494143176</v>
      </c>
      <c r="G325" s="40">
        <v>324</v>
      </c>
    </row>
    <row r="326" spans="6:7" x14ac:dyDescent="0.3">
      <c r="F326" s="39">
        <v>112.99629412131151</v>
      </c>
      <c r="G326" s="38">
        <v>325</v>
      </c>
    </row>
    <row r="327" spans="6:7" x14ac:dyDescent="0.3">
      <c r="F327" s="39">
        <v>83.069027461614866</v>
      </c>
      <c r="G327" s="40">
        <v>326</v>
      </c>
    </row>
    <row r="328" spans="6:7" x14ac:dyDescent="0.3">
      <c r="F328" s="39">
        <v>97.99063971490321</v>
      </c>
      <c r="G328" s="38">
        <v>327</v>
      </c>
    </row>
    <row r="329" spans="6:7" x14ac:dyDescent="0.3">
      <c r="F329" s="39">
        <v>89.453764811134931</v>
      </c>
      <c r="G329" s="40">
        <v>328</v>
      </c>
    </row>
    <row r="330" spans="6:7" x14ac:dyDescent="0.3">
      <c r="F330" s="39">
        <v>456.14393716347718</v>
      </c>
      <c r="G330" s="38">
        <v>329</v>
      </c>
    </row>
    <row r="331" spans="6:7" x14ac:dyDescent="0.3">
      <c r="F331" s="39">
        <v>83.15281275433172</v>
      </c>
      <c r="G331" s="40">
        <v>330</v>
      </c>
    </row>
    <row r="332" spans="6:7" x14ac:dyDescent="0.3">
      <c r="F332" s="39">
        <v>104.66905166612395</v>
      </c>
      <c r="G332" s="38">
        <v>331</v>
      </c>
    </row>
    <row r="333" spans="6:7" x14ac:dyDescent="0.3">
      <c r="F333" s="39">
        <v>95.012880400404214</v>
      </c>
      <c r="G333" s="40">
        <v>332</v>
      </c>
    </row>
    <row r="334" spans="6:7" x14ac:dyDescent="0.3">
      <c r="F334" s="39">
        <v>116.84027261204919</v>
      </c>
      <c r="G334" s="38">
        <v>333</v>
      </c>
    </row>
    <row r="335" spans="6:7" x14ac:dyDescent="0.3">
      <c r="F335" s="39">
        <v>108.97508365843808</v>
      </c>
      <c r="G335" s="40">
        <v>334</v>
      </c>
    </row>
    <row r="336" spans="6:7" x14ac:dyDescent="0.3">
      <c r="F336" s="39">
        <v>84.946491796993911</v>
      </c>
      <c r="G336" s="38">
        <v>335</v>
      </c>
    </row>
    <row r="337" spans="6:7" x14ac:dyDescent="0.3">
      <c r="F337" s="39">
        <v>137.84960625466653</v>
      </c>
      <c r="G337" s="40">
        <v>336</v>
      </c>
    </row>
    <row r="338" spans="6:7" x14ac:dyDescent="0.3">
      <c r="F338" s="39">
        <v>90.459307096878575</v>
      </c>
      <c r="G338" s="38">
        <v>337</v>
      </c>
    </row>
    <row r="339" spans="6:7" x14ac:dyDescent="0.3">
      <c r="F339" s="39">
        <v>85.957895884595786</v>
      </c>
      <c r="G339" s="40">
        <v>338</v>
      </c>
    </row>
    <row r="340" spans="6:7" x14ac:dyDescent="0.3">
      <c r="F340" s="39">
        <v>104.26016809095859</v>
      </c>
      <c r="G340" s="38">
        <v>339</v>
      </c>
    </row>
    <row r="341" spans="6:7" x14ac:dyDescent="0.3">
      <c r="F341" s="39">
        <v>85.755118350264482</v>
      </c>
      <c r="G341" s="40">
        <v>340</v>
      </c>
    </row>
    <row r="342" spans="6:7" x14ac:dyDescent="0.3">
      <c r="F342" s="39">
        <v>83.128726860992202</v>
      </c>
      <c r="G342" s="38">
        <v>341</v>
      </c>
    </row>
    <row r="343" spans="6:7" x14ac:dyDescent="0.3">
      <c r="F343" s="39">
        <v>83.684568550680069</v>
      </c>
      <c r="G343" s="40">
        <v>342</v>
      </c>
    </row>
    <row r="344" spans="6:7" x14ac:dyDescent="0.3">
      <c r="F344" s="39">
        <v>96.129183851090701</v>
      </c>
      <c r="G344" s="38">
        <v>343</v>
      </c>
    </row>
    <row r="345" spans="6:7" x14ac:dyDescent="0.3">
      <c r="F345" s="39">
        <v>95.498836358196399</v>
      </c>
      <c r="G345" s="40">
        <v>344</v>
      </c>
    </row>
    <row r="346" spans="6:7" x14ac:dyDescent="0.3">
      <c r="F346" s="39">
        <v>95.458414810845653</v>
      </c>
      <c r="G346" s="38">
        <v>345</v>
      </c>
    </row>
    <row r="347" spans="6:7" x14ac:dyDescent="0.3">
      <c r="F347" s="39">
        <v>85.898398599116362</v>
      </c>
      <c r="G347" s="40">
        <v>346</v>
      </c>
    </row>
    <row r="348" spans="6:7" x14ac:dyDescent="0.3">
      <c r="F348" s="39">
        <v>148.05476083803239</v>
      </c>
      <c r="G348" s="38">
        <v>347</v>
      </c>
    </row>
    <row r="349" spans="6:7" x14ac:dyDescent="0.3">
      <c r="F349" s="39">
        <v>198.40842914604048</v>
      </c>
      <c r="G349" s="40">
        <v>348</v>
      </c>
    </row>
    <row r="350" spans="6:7" x14ac:dyDescent="0.3">
      <c r="F350" s="39">
        <v>85.686528091632212</v>
      </c>
      <c r="G350" s="38">
        <v>349</v>
      </c>
    </row>
    <row r="351" spans="6:7" x14ac:dyDescent="0.3">
      <c r="F351" s="39">
        <v>100.79720430191854</v>
      </c>
      <c r="G351" s="40">
        <v>350</v>
      </c>
    </row>
    <row r="352" spans="6:7" x14ac:dyDescent="0.3">
      <c r="F352" s="39">
        <v>104.45010981053647</v>
      </c>
      <c r="G352" s="38">
        <v>351</v>
      </c>
    </row>
    <row r="353" spans="6:7" x14ac:dyDescent="0.3">
      <c r="F353" s="39">
        <v>100.63664589644563</v>
      </c>
      <c r="G353" s="40">
        <v>352</v>
      </c>
    </row>
    <row r="354" spans="6:7" x14ac:dyDescent="0.3">
      <c r="F354" s="39">
        <v>85.443933992407395</v>
      </c>
      <c r="G354" s="38">
        <v>353</v>
      </c>
    </row>
    <row r="355" spans="6:7" x14ac:dyDescent="0.3">
      <c r="F355" s="39">
        <v>97.248590647100642</v>
      </c>
      <c r="G355" s="40">
        <v>354</v>
      </c>
    </row>
    <row r="356" spans="6:7" x14ac:dyDescent="0.3">
      <c r="F356" s="39">
        <v>131.56490927993627</v>
      </c>
      <c r="G356" s="38">
        <v>355</v>
      </c>
    </row>
    <row r="357" spans="6:7" x14ac:dyDescent="0.3">
      <c r="F357" s="39">
        <v>96.993646592863882</v>
      </c>
      <c r="G357" s="40">
        <v>356</v>
      </c>
    </row>
    <row r="358" spans="6:7" x14ac:dyDescent="0.3">
      <c r="F358" s="39">
        <v>108.73071585434559</v>
      </c>
      <c r="G358" s="38">
        <v>357</v>
      </c>
    </row>
    <row r="359" spans="6:7" x14ac:dyDescent="0.3">
      <c r="F359" s="39">
        <v>94.336700353321618</v>
      </c>
      <c r="G359" s="40">
        <v>358</v>
      </c>
    </row>
    <row r="360" spans="6:7" x14ac:dyDescent="0.3">
      <c r="F360" s="39">
        <v>94.558594183294176</v>
      </c>
      <c r="G360" s="38">
        <v>359</v>
      </c>
    </row>
    <row r="361" spans="6:7" x14ac:dyDescent="0.3">
      <c r="F361" s="39">
        <v>221.04313293972473</v>
      </c>
      <c r="G361" s="40">
        <v>360</v>
      </c>
    </row>
    <row r="362" spans="6:7" x14ac:dyDescent="0.3">
      <c r="F362" s="39">
        <v>92.657591113944378</v>
      </c>
      <c r="G362" s="38">
        <v>361</v>
      </c>
    </row>
    <row r="363" spans="6:7" x14ac:dyDescent="0.3">
      <c r="F363" s="39">
        <v>86.90982140285962</v>
      </c>
      <c r="G363" s="40">
        <v>362</v>
      </c>
    </row>
    <row r="364" spans="6:7" x14ac:dyDescent="0.3">
      <c r="F364" s="39">
        <v>94.252118867995847</v>
      </c>
      <c r="G364" s="38">
        <v>363</v>
      </c>
    </row>
    <row r="365" spans="6:7" x14ac:dyDescent="0.3">
      <c r="F365" s="39">
        <v>88.97620127848198</v>
      </c>
      <c r="G365" s="40">
        <v>364</v>
      </c>
    </row>
    <row r="366" spans="6:7" x14ac:dyDescent="0.3">
      <c r="F366" s="39">
        <v>205.50232336413796</v>
      </c>
      <c r="G366" s="38">
        <v>365</v>
      </c>
    </row>
    <row r="367" spans="6:7" x14ac:dyDescent="0.3">
      <c r="F367" s="39">
        <v>85.348681919572655</v>
      </c>
      <c r="G367" s="40">
        <v>366</v>
      </c>
    </row>
    <row r="368" spans="6:7" x14ac:dyDescent="0.3">
      <c r="F368" s="39">
        <v>89.86216329549805</v>
      </c>
      <c r="G368" s="38">
        <v>367</v>
      </c>
    </row>
    <row r="369" spans="6:7" x14ac:dyDescent="0.3">
      <c r="F369" s="39">
        <v>102.71427955133252</v>
      </c>
      <c r="G369" s="40">
        <v>368</v>
      </c>
    </row>
    <row r="370" spans="6:7" x14ac:dyDescent="0.3">
      <c r="F370" s="39">
        <v>81.962073932488906</v>
      </c>
      <c r="G370" s="38">
        <v>369</v>
      </c>
    </row>
    <row r="371" spans="6:7" x14ac:dyDescent="0.3">
      <c r="F371" s="39">
        <v>94.116488419346922</v>
      </c>
      <c r="G371" s="40">
        <v>370</v>
      </c>
    </row>
    <row r="372" spans="6:7" x14ac:dyDescent="0.3">
      <c r="F372" s="39">
        <v>101.59606361434949</v>
      </c>
      <c r="G372" s="38">
        <v>371</v>
      </c>
    </row>
    <row r="373" spans="6:7" x14ac:dyDescent="0.3">
      <c r="F373" s="39">
        <v>108.30684651194949</v>
      </c>
      <c r="G373" s="40">
        <v>372</v>
      </c>
    </row>
    <row r="374" spans="6:7" x14ac:dyDescent="0.3">
      <c r="F374" s="39">
        <v>102.60299615120562</v>
      </c>
      <c r="G374" s="38">
        <v>373</v>
      </c>
    </row>
    <row r="375" spans="6:7" x14ac:dyDescent="0.3">
      <c r="F375" s="39">
        <v>94.353303966501699</v>
      </c>
      <c r="G375" s="40">
        <v>374</v>
      </c>
    </row>
    <row r="376" spans="6:7" x14ac:dyDescent="0.3">
      <c r="F376" s="39">
        <v>115.40664030737268</v>
      </c>
      <c r="G376" s="38">
        <v>375</v>
      </c>
    </row>
    <row r="377" spans="6:7" x14ac:dyDescent="0.3">
      <c r="F377" s="39">
        <v>105.9826367648179</v>
      </c>
      <c r="G377" s="40">
        <v>376</v>
      </c>
    </row>
    <row r="378" spans="6:7" x14ac:dyDescent="0.3">
      <c r="F378" s="39">
        <v>95.434544600117121</v>
      </c>
      <c r="G378" s="38">
        <v>377</v>
      </c>
    </row>
    <row r="379" spans="6:7" x14ac:dyDescent="0.3">
      <c r="F379" s="39">
        <v>100.39337466269691</v>
      </c>
      <c r="G379" s="40">
        <v>378</v>
      </c>
    </row>
    <row r="380" spans="6:7" x14ac:dyDescent="0.3">
      <c r="F380" s="39">
        <v>93.09140993049084</v>
      </c>
      <c r="G380" s="38">
        <v>379</v>
      </c>
    </row>
    <row r="381" spans="6:7" x14ac:dyDescent="0.3">
      <c r="F381" s="39">
        <v>85.592953757808743</v>
      </c>
      <c r="G381" s="40">
        <v>380</v>
      </c>
    </row>
    <row r="382" spans="6:7" x14ac:dyDescent="0.3">
      <c r="F382" s="39">
        <v>89.826282887062689</v>
      </c>
      <c r="G382" s="38">
        <v>381</v>
      </c>
    </row>
    <row r="383" spans="6:7" x14ac:dyDescent="0.3">
      <c r="F383" s="39">
        <v>107.66459322013718</v>
      </c>
      <c r="G383" s="40">
        <v>382</v>
      </c>
    </row>
    <row r="384" spans="6:7" x14ac:dyDescent="0.3">
      <c r="F384" s="39">
        <v>249.96827924232332</v>
      </c>
      <c r="G384" s="38">
        <v>383</v>
      </c>
    </row>
    <row r="385" spans="6:7" x14ac:dyDescent="0.3">
      <c r="F385" s="39">
        <v>91.413621198548213</v>
      </c>
      <c r="G385" s="40">
        <v>384</v>
      </c>
    </row>
    <row r="386" spans="6:7" x14ac:dyDescent="0.3">
      <c r="F386" s="39">
        <v>103.44887301918558</v>
      </c>
      <c r="G386" s="38">
        <v>385</v>
      </c>
    </row>
    <row r="387" spans="6:7" x14ac:dyDescent="0.3">
      <c r="F387" s="39">
        <v>107.43795303615407</v>
      </c>
      <c r="G387" s="40">
        <v>386</v>
      </c>
    </row>
    <row r="388" spans="6:7" x14ac:dyDescent="0.3">
      <c r="F388" s="39">
        <v>94.982014021462149</v>
      </c>
      <c r="G388" s="38">
        <v>387</v>
      </c>
    </row>
    <row r="389" spans="6:7" x14ac:dyDescent="0.3">
      <c r="F389" s="39">
        <v>83.035225070493183</v>
      </c>
      <c r="G389" s="40">
        <v>388</v>
      </c>
    </row>
    <row r="390" spans="6:7" x14ac:dyDescent="0.3">
      <c r="F390" s="39">
        <v>88.787808044656941</v>
      </c>
      <c r="G390" s="38">
        <v>389</v>
      </c>
    </row>
    <row r="391" spans="6:7" x14ac:dyDescent="0.3">
      <c r="F391" s="39">
        <v>116.37880359107534</v>
      </c>
      <c r="G391" s="40">
        <v>390</v>
      </c>
    </row>
    <row r="392" spans="6:7" x14ac:dyDescent="0.3">
      <c r="F392" s="39">
        <v>82.395201346907413</v>
      </c>
      <c r="G392" s="38">
        <v>391</v>
      </c>
    </row>
    <row r="393" spans="6:7" x14ac:dyDescent="0.3">
      <c r="F393" s="39">
        <v>88.151181547150543</v>
      </c>
      <c r="G393" s="40">
        <v>392</v>
      </c>
    </row>
    <row r="394" spans="6:7" x14ac:dyDescent="0.3">
      <c r="F394" s="39">
        <v>96.393095538675425</v>
      </c>
      <c r="G394" s="38">
        <v>393</v>
      </c>
    </row>
    <row r="395" spans="6:7" x14ac:dyDescent="0.3">
      <c r="F395" s="39">
        <v>105.74448221019401</v>
      </c>
      <c r="G395" s="40">
        <v>394</v>
      </c>
    </row>
    <row r="396" spans="6:7" x14ac:dyDescent="0.3">
      <c r="F396" s="39">
        <v>107.91906988676139</v>
      </c>
      <c r="G396" s="38">
        <v>395</v>
      </c>
    </row>
    <row r="397" spans="6:7" x14ac:dyDescent="0.3">
      <c r="F397" s="39">
        <v>127.81866861348294</v>
      </c>
      <c r="G397" s="40">
        <v>396</v>
      </c>
    </row>
    <row r="398" spans="6:7" x14ac:dyDescent="0.3">
      <c r="F398" s="39">
        <v>106.42245917161762</v>
      </c>
      <c r="G398" s="38">
        <v>397</v>
      </c>
    </row>
    <row r="399" spans="6:7" x14ac:dyDescent="0.3">
      <c r="F399" s="39">
        <v>86.781485317427922</v>
      </c>
      <c r="G399" s="40">
        <v>398</v>
      </c>
    </row>
    <row r="400" spans="6:7" x14ac:dyDescent="0.3">
      <c r="F400" s="39">
        <v>83.777963767958397</v>
      </c>
      <c r="G400" s="38">
        <v>399</v>
      </c>
    </row>
    <row r="401" spans="6:7" x14ac:dyDescent="0.3">
      <c r="F401" s="39">
        <v>93.75340847235374</v>
      </c>
      <c r="G401" s="40">
        <v>400</v>
      </c>
    </row>
    <row r="402" spans="6:7" x14ac:dyDescent="0.3">
      <c r="F402" s="39">
        <v>105.34209591833559</v>
      </c>
      <c r="G402" s="38">
        <v>401</v>
      </c>
    </row>
    <row r="403" spans="6:7" x14ac:dyDescent="0.3">
      <c r="F403" s="39">
        <v>87.020173056380116</v>
      </c>
      <c r="G403" s="40">
        <v>402</v>
      </c>
    </row>
    <row r="404" spans="6:7" x14ac:dyDescent="0.3">
      <c r="F404" s="39">
        <v>117.2371309733543</v>
      </c>
      <c r="G404" s="38">
        <v>403</v>
      </c>
    </row>
    <row r="405" spans="6:7" x14ac:dyDescent="0.3">
      <c r="F405" s="39">
        <v>83.524719139289303</v>
      </c>
      <c r="G405" s="40">
        <v>404</v>
      </c>
    </row>
    <row r="406" spans="6:7" x14ac:dyDescent="0.3">
      <c r="F406" s="39">
        <v>115.446163546083</v>
      </c>
      <c r="G406" s="38">
        <v>405</v>
      </c>
    </row>
    <row r="407" spans="6:7" x14ac:dyDescent="0.3">
      <c r="F407" s="39">
        <v>129.36130534779448</v>
      </c>
      <c r="G407" s="40">
        <v>406</v>
      </c>
    </row>
    <row r="408" spans="6:7" x14ac:dyDescent="0.3">
      <c r="F408" s="39">
        <v>87.231094884730425</v>
      </c>
      <c r="G408" s="38">
        <v>407</v>
      </c>
    </row>
    <row r="409" spans="6:7" x14ac:dyDescent="0.3">
      <c r="F409" s="39">
        <v>120.76033695238249</v>
      </c>
      <c r="G409" s="40">
        <v>408</v>
      </c>
    </row>
    <row r="410" spans="6:7" x14ac:dyDescent="0.3">
      <c r="F410" s="39">
        <v>238.81930893345418</v>
      </c>
      <c r="G410" s="38">
        <v>409</v>
      </c>
    </row>
    <row r="411" spans="6:7" x14ac:dyDescent="0.3">
      <c r="F411" s="39">
        <v>87.241124769978853</v>
      </c>
      <c r="G411" s="40">
        <v>410</v>
      </c>
    </row>
    <row r="412" spans="6:7" x14ac:dyDescent="0.3">
      <c r="F412" s="39">
        <v>94.110678038870603</v>
      </c>
      <c r="G412" s="38">
        <v>411</v>
      </c>
    </row>
    <row r="413" spans="6:7" x14ac:dyDescent="0.3">
      <c r="F413" s="39">
        <v>83.007565935979159</v>
      </c>
      <c r="G413" s="40">
        <v>412</v>
      </c>
    </row>
    <row r="414" spans="6:7" x14ac:dyDescent="0.3">
      <c r="F414" s="39">
        <v>141.99323042735307</v>
      </c>
      <c r="G414" s="38">
        <v>413</v>
      </c>
    </row>
    <row r="415" spans="6:7" x14ac:dyDescent="0.3">
      <c r="F415" s="39">
        <v>101.77850609845454</v>
      </c>
      <c r="G415" s="40">
        <v>414</v>
      </c>
    </row>
    <row r="416" spans="6:7" x14ac:dyDescent="0.3">
      <c r="F416" s="39">
        <v>149.43463175030681</v>
      </c>
      <c r="G416" s="38">
        <v>415</v>
      </c>
    </row>
    <row r="417" spans="6:7" x14ac:dyDescent="0.3">
      <c r="F417" s="39">
        <v>89.924625084963935</v>
      </c>
      <c r="G417" s="40">
        <v>416</v>
      </c>
    </row>
    <row r="418" spans="6:7" x14ac:dyDescent="0.3">
      <c r="F418" s="39">
        <v>84.619290155116218</v>
      </c>
      <c r="G418" s="38">
        <v>417</v>
      </c>
    </row>
    <row r="419" spans="6:7" x14ac:dyDescent="0.3">
      <c r="F419" s="39">
        <v>102.89819084335979</v>
      </c>
      <c r="G419" s="40">
        <v>418</v>
      </c>
    </row>
    <row r="420" spans="6:7" x14ac:dyDescent="0.3">
      <c r="F420" s="39">
        <v>97.441979452273642</v>
      </c>
      <c r="G420" s="38">
        <v>419</v>
      </c>
    </row>
    <row r="421" spans="6:7" x14ac:dyDescent="0.3">
      <c r="F421" s="39">
        <v>91.390108391617076</v>
      </c>
      <c r="G421" s="40">
        <v>420</v>
      </c>
    </row>
    <row r="422" spans="6:7" x14ac:dyDescent="0.3">
      <c r="F422" s="39">
        <v>90.288950410107731</v>
      </c>
      <c r="G422" s="38">
        <v>421</v>
      </c>
    </row>
    <row r="423" spans="6:7" x14ac:dyDescent="0.3">
      <c r="F423" s="39">
        <v>109.36890624398831</v>
      </c>
      <c r="G423" s="40">
        <v>422</v>
      </c>
    </row>
    <row r="424" spans="6:7" x14ac:dyDescent="0.3">
      <c r="F424" s="39">
        <v>123.73147055548881</v>
      </c>
      <c r="G424" s="38">
        <v>423</v>
      </c>
    </row>
    <row r="425" spans="6:7" x14ac:dyDescent="0.3">
      <c r="F425" s="39">
        <v>96.172600777191604</v>
      </c>
      <c r="G425" s="40">
        <v>424</v>
      </c>
    </row>
    <row r="426" spans="6:7" x14ac:dyDescent="0.3">
      <c r="F426" s="39">
        <v>83.890693445251799</v>
      </c>
      <c r="G426" s="38">
        <v>425</v>
      </c>
    </row>
    <row r="427" spans="6:7" x14ac:dyDescent="0.3">
      <c r="F427" s="39">
        <v>82.03090429961884</v>
      </c>
      <c r="G427" s="40">
        <v>426</v>
      </c>
    </row>
    <row r="428" spans="6:7" x14ac:dyDescent="0.3">
      <c r="F428" s="39">
        <v>98.966293079058985</v>
      </c>
      <c r="G428" s="38">
        <v>427</v>
      </c>
    </row>
    <row r="429" spans="6:7" x14ac:dyDescent="0.3">
      <c r="F429" s="39">
        <v>106.47158333133318</v>
      </c>
      <c r="G429" s="40">
        <v>428</v>
      </c>
    </row>
    <row r="430" spans="6:7" x14ac:dyDescent="0.3">
      <c r="F430" s="39">
        <v>105.09502875171322</v>
      </c>
      <c r="G430" s="38">
        <v>429</v>
      </c>
    </row>
    <row r="431" spans="6:7" x14ac:dyDescent="0.3">
      <c r="F431" s="39">
        <v>111.51525211662727</v>
      </c>
      <c r="G431" s="40">
        <v>430</v>
      </c>
    </row>
    <row r="432" spans="6:7" x14ac:dyDescent="0.3">
      <c r="F432" s="39">
        <v>195.887124380578</v>
      </c>
      <c r="G432" s="38">
        <v>431</v>
      </c>
    </row>
    <row r="433" spans="6:7" x14ac:dyDescent="0.3">
      <c r="F433" s="39">
        <v>182.16675747633514</v>
      </c>
      <c r="G433" s="40">
        <v>432</v>
      </c>
    </row>
    <row r="434" spans="6:7" x14ac:dyDescent="0.3">
      <c r="F434" s="39">
        <v>119.9220273238448</v>
      </c>
      <c r="G434" s="38">
        <v>433</v>
      </c>
    </row>
    <row r="435" spans="6:7" x14ac:dyDescent="0.3">
      <c r="F435" s="39">
        <v>167.56076505099412</v>
      </c>
      <c r="G435" s="40">
        <v>434</v>
      </c>
    </row>
    <row r="436" spans="6:7" x14ac:dyDescent="0.3">
      <c r="F436" s="39">
        <v>93.723237606264576</v>
      </c>
      <c r="G436" s="38">
        <v>435</v>
      </c>
    </row>
    <row r="437" spans="6:7" x14ac:dyDescent="0.3">
      <c r="F437" s="39">
        <v>86.094423807145034</v>
      </c>
      <c r="G437" s="40">
        <v>436</v>
      </c>
    </row>
    <row r="438" spans="6:7" x14ac:dyDescent="0.3">
      <c r="F438" s="39">
        <v>117.66994680558635</v>
      </c>
      <c r="G438" s="38">
        <v>437</v>
      </c>
    </row>
    <row r="439" spans="6:7" x14ac:dyDescent="0.3">
      <c r="F439" s="39">
        <v>95.741713483920904</v>
      </c>
      <c r="G439" s="40">
        <v>438</v>
      </c>
    </row>
    <row r="440" spans="6:7" x14ac:dyDescent="0.3">
      <c r="F440" s="39">
        <v>93.518308043246094</v>
      </c>
      <c r="G440" s="38">
        <v>439</v>
      </c>
    </row>
    <row r="441" spans="6:7" x14ac:dyDescent="0.3">
      <c r="F441" s="39">
        <v>118.62749300353667</v>
      </c>
      <c r="G441" s="40">
        <v>440</v>
      </c>
    </row>
    <row r="442" spans="6:7" x14ac:dyDescent="0.3">
      <c r="F442" s="39">
        <v>97.803973040018619</v>
      </c>
      <c r="G442" s="38">
        <v>441</v>
      </c>
    </row>
    <row r="443" spans="6:7" x14ac:dyDescent="0.3">
      <c r="F443" s="39">
        <v>82.906858120578121</v>
      </c>
      <c r="G443" s="40">
        <v>442</v>
      </c>
    </row>
    <row r="444" spans="6:7" x14ac:dyDescent="0.3">
      <c r="F444" s="39">
        <v>151.53602867923752</v>
      </c>
      <c r="G444" s="38">
        <v>443</v>
      </c>
    </row>
    <row r="445" spans="6:7" x14ac:dyDescent="0.3">
      <c r="F445" s="39">
        <v>82.24517107480473</v>
      </c>
      <c r="G445" s="40">
        <v>444</v>
      </c>
    </row>
    <row r="446" spans="6:7" x14ac:dyDescent="0.3">
      <c r="F446" s="39">
        <v>96.291201788004372</v>
      </c>
      <c r="G446" s="38">
        <v>445</v>
      </c>
    </row>
    <row r="447" spans="6:7" x14ac:dyDescent="0.3">
      <c r="F447" s="39">
        <v>90.947218311905502</v>
      </c>
      <c r="G447" s="40">
        <v>446</v>
      </c>
    </row>
    <row r="448" spans="6:7" x14ac:dyDescent="0.3">
      <c r="F448" s="39">
        <v>89.86240542695532</v>
      </c>
      <c r="G448" s="38">
        <v>447</v>
      </c>
    </row>
    <row r="449" spans="6:7" x14ac:dyDescent="0.3">
      <c r="F449" s="39">
        <v>96.884322206684715</v>
      </c>
      <c r="G449" s="40">
        <v>448</v>
      </c>
    </row>
    <row r="450" spans="6:7" x14ac:dyDescent="0.3">
      <c r="F450" s="39">
        <v>185.25912988985317</v>
      </c>
      <c r="G450" s="38">
        <v>449</v>
      </c>
    </row>
    <row r="451" spans="6:7" x14ac:dyDescent="0.3">
      <c r="F451" s="39">
        <v>91.90638518643172</v>
      </c>
      <c r="G451" s="40">
        <v>450</v>
      </c>
    </row>
    <row r="452" spans="6:7" x14ac:dyDescent="0.3">
      <c r="F452" s="39">
        <v>111.14321466026601</v>
      </c>
      <c r="G452" s="38">
        <v>451</v>
      </c>
    </row>
    <row r="453" spans="6:7" x14ac:dyDescent="0.3">
      <c r="F453" s="39">
        <v>177.71736954379017</v>
      </c>
      <c r="G453" s="40">
        <v>452</v>
      </c>
    </row>
    <row r="454" spans="6:7" x14ac:dyDescent="0.3">
      <c r="F454" s="39">
        <v>91.414368217045478</v>
      </c>
      <c r="G454" s="38">
        <v>453</v>
      </c>
    </row>
    <row r="455" spans="6:7" x14ac:dyDescent="0.3">
      <c r="F455" s="39">
        <v>104.8643755974428</v>
      </c>
      <c r="G455" s="40">
        <v>454</v>
      </c>
    </row>
    <row r="456" spans="6:7" x14ac:dyDescent="0.3">
      <c r="F456" s="39">
        <v>97.625561726360502</v>
      </c>
      <c r="G456" s="38">
        <v>455</v>
      </c>
    </row>
    <row r="457" spans="6:7" x14ac:dyDescent="0.3">
      <c r="F457" s="39">
        <v>96.093673148444296</v>
      </c>
      <c r="G457" s="40">
        <v>456</v>
      </c>
    </row>
    <row r="458" spans="6:7" x14ac:dyDescent="0.3">
      <c r="F458" s="39">
        <v>96.2779063969015</v>
      </c>
      <c r="G458" s="38">
        <v>457</v>
      </c>
    </row>
    <row r="459" spans="6:7" x14ac:dyDescent="0.3">
      <c r="F459" s="39">
        <v>86.056606650006131</v>
      </c>
      <c r="G459" s="40">
        <v>458</v>
      </c>
    </row>
    <row r="460" spans="6:7" x14ac:dyDescent="0.3">
      <c r="F460" s="39">
        <v>82.555972911417285</v>
      </c>
      <c r="G460" s="38">
        <v>459</v>
      </c>
    </row>
    <row r="461" spans="6:7" x14ac:dyDescent="0.3">
      <c r="F461" s="39">
        <v>111.01490178866936</v>
      </c>
      <c r="G461" s="40">
        <v>460</v>
      </c>
    </row>
    <row r="462" spans="6:7" x14ac:dyDescent="0.3">
      <c r="F462" s="39">
        <v>85.712963908168817</v>
      </c>
      <c r="G462" s="38">
        <v>461</v>
      </c>
    </row>
    <row r="463" spans="6:7" x14ac:dyDescent="0.3">
      <c r="F463" s="39">
        <v>145.9485813752049</v>
      </c>
      <c r="G463" s="40">
        <v>462</v>
      </c>
    </row>
    <row r="464" spans="6:7" x14ac:dyDescent="0.3">
      <c r="F464" s="39">
        <v>81.119153614957142</v>
      </c>
      <c r="G464" s="38">
        <v>463</v>
      </c>
    </row>
    <row r="465" spans="6:7" x14ac:dyDescent="0.3">
      <c r="F465" s="39">
        <v>83.869648797432362</v>
      </c>
      <c r="G465" s="40">
        <v>464</v>
      </c>
    </row>
    <row r="466" spans="6:7" x14ac:dyDescent="0.3">
      <c r="F466" s="39">
        <v>108.97660662354144</v>
      </c>
      <c r="G466" s="38">
        <v>465</v>
      </c>
    </row>
    <row r="467" spans="6:7" x14ac:dyDescent="0.3">
      <c r="F467" s="39">
        <v>118.71183228885117</v>
      </c>
      <c r="G467" s="40">
        <v>466</v>
      </c>
    </row>
    <row r="468" spans="6:7" x14ac:dyDescent="0.3">
      <c r="F468" s="39">
        <v>89.188543776629444</v>
      </c>
      <c r="G468" s="38">
        <v>467</v>
      </c>
    </row>
    <row r="469" spans="6:7" x14ac:dyDescent="0.3">
      <c r="F469" s="39">
        <v>85.896208622350215</v>
      </c>
      <c r="G469" s="40">
        <v>468</v>
      </c>
    </row>
    <row r="470" spans="6:7" x14ac:dyDescent="0.3">
      <c r="F470" s="39">
        <v>102.96674306854013</v>
      </c>
      <c r="G470" s="38">
        <v>469</v>
      </c>
    </row>
    <row r="471" spans="6:7" x14ac:dyDescent="0.3">
      <c r="F471" s="39">
        <v>82.235884100679769</v>
      </c>
      <c r="G471" s="40">
        <v>470</v>
      </c>
    </row>
    <row r="472" spans="6:7" x14ac:dyDescent="0.3">
      <c r="F472" s="39">
        <v>83.578041372177438</v>
      </c>
      <c r="G472" s="38">
        <v>471</v>
      </c>
    </row>
    <row r="473" spans="6:7" x14ac:dyDescent="0.3">
      <c r="F473" s="39">
        <v>90.600824412410503</v>
      </c>
      <c r="G473" s="40">
        <v>472</v>
      </c>
    </row>
    <row r="474" spans="6:7" x14ac:dyDescent="0.3">
      <c r="F474" s="39">
        <v>84.024499219864026</v>
      </c>
      <c r="G474" s="38">
        <v>473</v>
      </c>
    </row>
    <row r="475" spans="6:7" x14ac:dyDescent="0.3">
      <c r="F475" s="39">
        <v>118.57418460087601</v>
      </c>
      <c r="G475" s="40">
        <v>474</v>
      </c>
    </row>
    <row r="476" spans="6:7" x14ac:dyDescent="0.3">
      <c r="F476" s="39">
        <v>91.521614901365695</v>
      </c>
      <c r="G476" s="38">
        <v>475</v>
      </c>
    </row>
    <row r="477" spans="6:7" x14ac:dyDescent="0.3">
      <c r="F477" s="39">
        <v>83.964512448562616</v>
      </c>
      <c r="G477" s="40">
        <v>476</v>
      </c>
    </row>
    <row r="478" spans="6:7" x14ac:dyDescent="0.3">
      <c r="F478" s="39">
        <v>88.633286236293969</v>
      </c>
      <c r="G478" s="38">
        <v>477</v>
      </c>
    </row>
    <row r="479" spans="6:7" x14ac:dyDescent="0.3">
      <c r="F479" s="39">
        <v>119.31495235401061</v>
      </c>
      <c r="G479" s="40">
        <v>478</v>
      </c>
    </row>
    <row r="480" spans="6:7" x14ac:dyDescent="0.3">
      <c r="F480" s="39">
        <v>84.73623491371427</v>
      </c>
      <c r="G480" s="38">
        <v>479</v>
      </c>
    </row>
    <row r="481" spans="6:7" x14ac:dyDescent="0.3">
      <c r="F481" s="39">
        <v>90.194161270383859</v>
      </c>
      <c r="G481" s="40">
        <v>480</v>
      </c>
    </row>
    <row r="482" spans="6:7" x14ac:dyDescent="0.3">
      <c r="F482" s="39">
        <v>107.94220477189891</v>
      </c>
      <c r="G482" s="38">
        <v>481</v>
      </c>
    </row>
    <row r="483" spans="6:7" x14ac:dyDescent="0.3">
      <c r="F483" s="39">
        <v>117.7563867916173</v>
      </c>
      <c r="G483" s="40">
        <v>482</v>
      </c>
    </row>
    <row r="484" spans="6:7" x14ac:dyDescent="0.3">
      <c r="F484" s="39">
        <v>133.99702392747133</v>
      </c>
      <c r="G484" s="38">
        <v>483</v>
      </c>
    </row>
    <row r="485" spans="6:7" x14ac:dyDescent="0.3">
      <c r="F485" s="39">
        <v>106.35258666146096</v>
      </c>
      <c r="G485" s="40">
        <v>484</v>
      </c>
    </row>
    <row r="486" spans="6:7" x14ac:dyDescent="0.3">
      <c r="F486" s="39">
        <v>108.22075281754361</v>
      </c>
      <c r="G486" s="38">
        <v>485</v>
      </c>
    </row>
    <row r="487" spans="6:7" x14ac:dyDescent="0.3">
      <c r="F487" s="39">
        <v>93.874593019485104</v>
      </c>
      <c r="G487" s="40">
        <v>486</v>
      </c>
    </row>
    <row r="488" spans="6:7" x14ac:dyDescent="0.3">
      <c r="F488" s="39">
        <v>91.388226034661329</v>
      </c>
      <c r="G488" s="38">
        <v>487</v>
      </c>
    </row>
    <row r="489" spans="6:7" x14ac:dyDescent="0.3">
      <c r="F489" s="39">
        <v>83.774813679656987</v>
      </c>
      <c r="G489" s="40">
        <v>488</v>
      </c>
    </row>
    <row r="490" spans="6:7" x14ac:dyDescent="0.3">
      <c r="F490" s="39">
        <v>121.92664317268026</v>
      </c>
      <c r="G490" s="38">
        <v>489</v>
      </c>
    </row>
    <row r="491" spans="6:7" x14ac:dyDescent="0.3">
      <c r="F491" s="39">
        <v>85.594880140249415</v>
      </c>
      <c r="G491" s="40">
        <v>490</v>
      </c>
    </row>
    <row r="492" spans="6:7" x14ac:dyDescent="0.3">
      <c r="F492" s="39">
        <v>265.93541422713616</v>
      </c>
      <c r="G492" s="38">
        <v>491</v>
      </c>
    </row>
    <row r="493" spans="6:7" x14ac:dyDescent="0.3">
      <c r="F493" s="39">
        <v>208.75666932985553</v>
      </c>
      <c r="G493" s="40">
        <v>492</v>
      </c>
    </row>
    <row r="494" spans="6:7" x14ac:dyDescent="0.3">
      <c r="F494" s="39">
        <v>140.44963538886469</v>
      </c>
      <c r="G494" s="38">
        <v>493</v>
      </c>
    </row>
    <row r="495" spans="6:7" x14ac:dyDescent="0.3">
      <c r="F495" s="39">
        <v>86.748560583728704</v>
      </c>
      <c r="G495" s="40">
        <v>494</v>
      </c>
    </row>
    <row r="496" spans="6:7" x14ac:dyDescent="0.3">
      <c r="F496" s="39">
        <v>85.024215470406972</v>
      </c>
      <c r="G496" s="38">
        <v>495</v>
      </c>
    </row>
    <row r="497" spans="6:7" x14ac:dyDescent="0.3">
      <c r="F497" s="39">
        <v>83.321974059671632</v>
      </c>
      <c r="G497" s="40">
        <v>496</v>
      </c>
    </row>
    <row r="498" spans="6:7" x14ac:dyDescent="0.3">
      <c r="F498" s="39">
        <v>80.915903248959879</v>
      </c>
      <c r="G498" s="38">
        <v>497</v>
      </c>
    </row>
    <row r="499" spans="6:7" x14ac:dyDescent="0.3">
      <c r="F499" s="39">
        <v>102.36535769730506</v>
      </c>
      <c r="G499" s="40">
        <v>498</v>
      </c>
    </row>
    <row r="500" spans="6:7" x14ac:dyDescent="0.3">
      <c r="F500" s="39">
        <v>96.962001156237974</v>
      </c>
      <c r="G500" s="38">
        <v>499</v>
      </c>
    </row>
    <row r="501" spans="6:7" x14ac:dyDescent="0.3">
      <c r="F501" s="39">
        <v>126.81939586348906</v>
      </c>
      <c r="G501" s="40">
        <v>500</v>
      </c>
    </row>
    <row r="502" spans="6:7" x14ac:dyDescent="0.3">
      <c r="F502" s="39">
        <v>104.5099272934624</v>
      </c>
      <c r="G502" s="38">
        <v>501</v>
      </c>
    </row>
    <row r="503" spans="6:7" x14ac:dyDescent="0.3">
      <c r="F503" s="39">
        <v>90.595593457552866</v>
      </c>
      <c r="G503" s="40">
        <v>502</v>
      </c>
    </row>
    <row r="504" spans="6:7" x14ac:dyDescent="0.3">
      <c r="F504" s="39">
        <v>95.789097742715683</v>
      </c>
      <c r="G504" s="38">
        <v>503</v>
      </c>
    </row>
    <row r="505" spans="6:7" x14ac:dyDescent="0.3">
      <c r="F505" s="39">
        <v>119.27830789915828</v>
      </c>
      <c r="G505" s="40">
        <v>504</v>
      </c>
    </row>
    <row r="506" spans="6:7" x14ac:dyDescent="0.3">
      <c r="F506" s="39">
        <v>83.212770574870419</v>
      </c>
      <c r="G506" s="38">
        <v>505</v>
      </c>
    </row>
    <row r="507" spans="6:7" x14ac:dyDescent="0.3">
      <c r="F507" s="39">
        <v>84.29006327756241</v>
      </c>
      <c r="G507" s="40">
        <v>506</v>
      </c>
    </row>
    <row r="508" spans="6:7" x14ac:dyDescent="0.3">
      <c r="F508" s="39">
        <v>187.1317740831937</v>
      </c>
      <c r="G508" s="38">
        <v>507</v>
      </c>
    </row>
    <row r="509" spans="6:7" x14ac:dyDescent="0.3">
      <c r="F509" s="39">
        <v>82.239248522598501</v>
      </c>
      <c r="G509" s="40">
        <v>508</v>
      </c>
    </row>
    <row r="510" spans="6:7" x14ac:dyDescent="0.3">
      <c r="F510" s="39">
        <v>137.93376623519822</v>
      </c>
      <c r="G510" s="38">
        <v>509</v>
      </c>
    </row>
    <row r="511" spans="6:7" x14ac:dyDescent="0.3">
      <c r="F511" s="39">
        <v>95.297306431774587</v>
      </c>
      <c r="G511" s="40">
        <v>510</v>
      </c>
    </row>
    <row r="512" spans="6:7" x14ac:dyDescent="0.3">
      <c r="F512" s="39">
        <v>83.203733176853561</v>
      </c>
      <c r="G512" s="38">
        <v>511</v>
      </c>
    </row>
    <row r="513" spans="6:7" x14ac:dyDescent="0.3">
      <c r="F513" s="39">
        <v>87.217320195182765</v>
      </c>
      <c r="G513" s="40">
        <v>512</v>
      </c>
    </row>
    <row r="514" spans="6:7" x14ac:dyDescent="0.3">
      <c r="F514" s="39">
        <v>93.291780109499626</v>
      </c>
      <c r="G514" s="38">
        <v>513</v>
      </c>
    </row>
    <row r="515" spans="6:7" x14ac:dyDescent="0.3">
      <c r="F515" s="39">
        <v>86.21310584252798</v>
      </c>
      <c r="G515" s="40">
        <v>514</v>
      </c>
    </row>
    <row r="516" spans="6:7" x14ac:dyDescent="0.3">
      <c r="F516" s="39">
        <v>92.912574237559511</v>
      </c>
      <c r="G516" s="38">
        <v>515</v>
      </c>
    </row>
    <row r="517" spans="6:7" x14ac:dyDescent="0.3">
      <c r="F517" s="39">
        <v>145.79285128762453</v>
      </c>
      <c r="G517" s="40">
        <v>516</v>
      </c>
    </row>
    <row r="518" spans="6:7" x14ac:dyDescent="0.3">
      <c r="F518" s="39">
        <v>109.1029613247041</v>
      </c>
      <c r="G518" s="38">
        <v>517</v>
      </c>
    </row>
    <row r="519" spans="6:7" x14ac:dyDescent="0.3">
      <c r="F519" s="39">
        <v>94.536117112871594</v>
      </c>
      <c r="G519" s="40">
        <v>518</v>
      </c>
    </row>
    <row r="520" spans="6:7" x14ac:dyDescent="0.3">
      <c r="F520" s="39">
        <v>89.553396389097671</v>
      </c>
      <c r="G520" s="38">
        <v>519</v>
      </c>
    </row>
    <row r="521" spans="6:7" x14ac:dyDescent="0.3">
      <c r="F521" s="39">
        <v>90.744837159496896</v>
      </c>
      <c r="G521" s="40">
        <v>520</v>
      </c>
    </row>
    <row r="522" spans="6:7" x14ac:dyDescent="0.3">
      <c r="F522" s="39">
        <v>85.916574771014098</v>
      </c>
      <c r="G522" s="38">
        <v>521</v>
      </c>
    </row>
    <row r="523" spans="6:7" x14ac:dyDescent="0.3">
      <c r="F523" s="39">
        <v>88.264007541946668</v>
      </c>
      <c r="G523" s="40">
        <v>522</v>
      </c>
    </row>
    <row r="524" spans="6:7" x14ac:dyDescent="0.3">
      <c r="F524" s="39">
        <v>91.838019322993148</v>
      </c>
      <c r="G524" s="38">
        <v>523</v>
      </c>
    </row>
    <row r="525" spans="6:7" x14ac:dyDescent="0.3">
      <c r="F525" s="39">
        <v>86.099707448328786</v>
      </c>
      <c r="G525" s="40">
        <v>524</v>
      </c>
    </row>
    <row r="526" spans="6:7" x14ac:dyDescent="0.3">
      <c r="F526" s="39">
        <v>82.267070166713893</v>
      </c>
      <c r="G526" s="38">
        <v>525</v>
      </c>
    </row>
    <row r="527" spans="6:7" x14ac:dyDescent="0.3">
      <c r="F527" s="39">
        <v>89.042155665618665</v>
      </c>
      <c r="G527" s="40">
        <v>526</v>
      </c>
    </row>
    <row r="528" spans="6:7" x14ac:dyDescent="0.3">
      <c r="F528" s="39">
        <v>113.24050959728417</v>
      </c>
      <c r="G528" s="38">
        <v>527</v>
      </c>
    </row>
    <row r="529" spans="6:7" x14ac:dyDescent="0.3">
      <c r="F529" s="39">
        <v>81.428350165664952</v>
      </c>
      <c r="G529" s="40">
        <v>528</v>
      </c>
    </row>
    <row r="530" spans="6:7" x14ac:dyDescent="0.3">
      <c r="F530" s="39">
        <v>104.92707720653107</v>
      </c>
      <c r="G530" s="38">
        <v>529</v>
      </c>
    </row>
    <row r="531" spans="6:7" x14ac:dyDescent="0.3">
      <c r="F531" s="39">
        <v>154.32848953793646</v>
      </c>
      <c r="G531" s="40">
        <v>530</v>
      </c>
    </row>
    <row r="532" spans="6:7" x14ac:dyDescent="0.3">
      <c r="F532" s="39">
        <v>202.15573619523866</v>
      </c>
      <c r="G532" s="38">
        <v>531</v>
      </c>
    </row>
    <row r="533" spans="6:7" x14ac:dyDescent="0.3">
      <c r="F533" s="39">
        <v>87.15050032838019</v>
      </c>
      <c r="G533" s="40">
        <v>532</v>
      </c>
    </row>
    <row r="534" spans="6:7" x14ac:dyDescent="0.3">
      <c r="F534" s="39">
        <v>85.910971398095725</v>
      </c>
      <c r="G534" s="38">
        <v>533</v>
      </c>
    </row>
    <row r="535" spans="6:7" x14ac:dyDescent="0.3">
      <c r="F535" s="39">
        <v>209.99994514672238</v>
      </c>
      <c r="G535" s="40">
        <v>534</v>
      </c>
    </row>
    <row r="536" spans="6:7" x14ac:dyDescent="0.3">
      <c r="F536" s="39">
        <v>240.22671592555037</v>
      </c>
      <c r="G536" s="38">
        <v>535</v>
      </c>
    </row>
    <row r="537" spans="6:7" x14ac:dyDescent="0.3">
      <c r="F537" s="39">
        <v>113.14704480819309</v>
      </c>
      <c r="G537" s="40">
        <v>536</v>
      </c>
    </row>
    <row r="538" spans="6:7" x14ac:dyDescent="0.3">
      <c r="F538" s="39">
        <v>94.004214558129576</v>
      </c>
      <c r="G538" s="38">
        <v>537</v>
      </c>
    </row>
    <row r="539" spans="6:7" x14ac:dyDescent="0.3">
      <c r="F539" s="39">
        <v>86.065952613673844</v>
      </c>
      <c r="G539" s="40">
        <v>538</v>
      </c>
    </row>
    <row r="540" spans="6:7" x14ac:dyDescent="0.3">
      <c r="F540" s="39">
        <v>92.680462277004864</v>
      </c>
      <c r="G540" s="38">
        <v>539</v>
      </c>
    </row>
    <row r="541" spans="6:7" x14ac:dyDescent="0.3">
      <c r="F541" s="39">
        <v>90.598934781960097</v>
      </c>
      <c r="G541" s="40">
        <v>540</v>
      </c>
    </row>
    <row r="542" spans="6:7" x14ac:dyDescent="0.3">
      <c r="F542" s="39">
        <v>128.47814794089086</v>
      </c>
      <c r="G542" s="38">
        <v>541</v>
      </c>
    </row>
    <row r="543" spans="6:7" x14ac:dyDescent="0.3">
      <c r="F543" s="39">
        <v>101.77903530187058</v>
      </c>
      <c r="G543" s="40">
        <v>542</v>
      </c>
    </row>
    <row r="544" spans="6:7" x14ac:dyDescent="0.3">
      <c r="F544" s="39">
        <v>172.20136131300177</v>
      </c>
      <c r="G544" s="38">
        <v>543</v>
      </c>
    </row>
    <row r="545" spans="6:7" x14ac:dyDescent="0.3">
      <c r="F545" s="39">
        <v>81.336145969788589</v>
      </c>
      <c r="G545" s="40">
        <v>544</v>
      </c>
    </row>
    <row r="546" spans="6:7" x14ac:dyDescent="0.3">
      <c r="F546" s="39">
        <v>86.030191646426474</v>
      </c>
      <c r="G546" s="38">
        <v>545</v>
      </c>
    </row>
    <row r="547" spans="6:7" x14ac:dyDescent="0.3">
      <c r="F547" s="39">
        <v>113.7949900706685</v>
      </c>
      <c r="G547" s="40">
        <v>546</v>
      </c>
    </row>
    <row r="548" spans="6:7" x14ac:dyDescent="0.3">
      <c r="F548" s="39">
        <v>140.37112858760287</v>
      </c>
      <c r="G548" s="38">
        <v>547</v>
      </c>
    </row>
    <row r="549" spans="6:7" x14ac:dyDescent="0.3">
      <c r="F549" s="39">
        <v>95.857628744346428</v>
      </c>
      <c r="G549" s="40">
        <v>548</v>
      </c>
    </row>
    <row r="550" spans="6:7" x14ac:dyDescent="0.3">
      <c r="F550" s="39">
        <v>99.723557039176939</v>
      </c>
      <c r="G550" s="38">
        <v>549</v>
      </c>
    </row>
    <row r="551" spans="6:7" x14ac:dyDescent="0.3">
      <c r="F551" s="39">
        <v>82.622086259793164</v>
      </c>
      <c r="G551" s="40">
        <v>550</v>
      </c>
    </row>
    <row r="552" spans="6:7" x14ac:dyDescent="0.3">
      <c r="F552" s="39">
        <v>89.773754302457974</v>
      </c>
      <c r="G552" s="38">
        <v>551</v>
      </c>
    </row>
    <row r="553" spans="6:7" x14ac:dyDescent="0.3">
      <c r="F553" s="39">
        <v>85.270089142477445</v>
      </c>
      <c r="G553" s="40">
        <v>552</v>
      </c>
    </row>
    <row r="554" spans="6:7" x14ac:dyDescent="0.3">
      <c r="F554" s="39">
        <v>91.466345716472091</v>
      </c>
      <c r="G554" s="38">
        <v>553</v>
      </c>
    </row>
    <row r="555" spans="6:7" x14ac:dyDescent="0.3">
      <c r="F555" s="39">
        <v>90.445516916775034</v>
      </c>
      <c r="G555" s="40">
        <v>554</v>
      </c>
    </row>
    <row r="556" spans="6:7" x14ac:dyDescent="0.3">
      <c r="F556" s="39">
        <v>87.993442318914674</v>
      </c>
      <c r="G556" s="38">
        <v>555</v>
      </c>
    </row>
    <row r="557" spans="6:7" x14ac:dyDescent="0.3">
      <c r="F557" s="39">
        <v>108.47667089208689</v>
      </c>
      <c r="G557" s="40">
        <v>556</v>
      </c>
    </row>
    <row r="558" spans="6:7" x14ac:dyDescent="0.3">
      <c r="F558" s="39">
        <v>102.99210623432097</v>
      </c>
      <c r="G558" s="38">
        <v>557</v>
      </c>
    </row>
    <row r="559" spans="6:7" x14ac:dyDescent="0.3">
      <c r="F559" s="39">
        <v>97.221040580516586</v>
      </c>
      <c r="G559" s="40">
        <v>558</v>
      </c>
    </row>
    <row r="560" spans="6:7" x14ac:dyDescent="0.3">
      <c r="F560" s="39">
        <v>118.52511052709556</v>
      </c>
      <c r="G560" s="38">
        <v>559</v>
      </c>
    </row>
    <row r="561" spans="6:7" x14ac:dyDescent="0.3">
      <c r="F561" s="39">
        <v>109.60916939986659</v>
      </c>
      <c r="G561" s="40">
        <v>560</v>
      </c>
    </row>
    <row r="562" spans="6:7" x14ac:dyDescent="0.3">
      <c r="F562" s="39">
        <v>114.65737859081335</v>
      </c>
      <c r="G562" s="38">
        <v>561</v>
      </c>
    </row>
    <row r="563" spans="6:7" x14ac:dyDescent="0.3">
      <c r="F563" s="39">
        <v>91.940698969010043</v>
      </c>
      <c r="G563" s="40">
        <v>562</v>
      </c>
    </row>
    <row r="564" spans="6:7" x14ac:dyDescent="0.3">
      <c r="F564" s="39">
        <v>119.09247554514583</v>
      </c>
      <c r="G564" s="38">
        <v>563</v>
      </c>
    </row>
    <row r="565" spans="6:7" x14ac:dyDescent="0.3">
      <c r="F565" s="39">
        <v>96.012052198335184</v>
      </c>
      <c r="G565" s="40">
        <v>564</v>
      </c>
    </row>
    <row r="566" spans="6:7" x14ac:dyDescent="0.3">
      <c r="F566" s="39">
        <v>98.21644573328372</v>
      </c>
      <c r="G566" s="38">
        <v>565</v>
      </c>
    </row>
    <row r="567" spans="6:7" x14ac:dyDescent="0.3">
      <c r="F567" s="39">
        <v>97.184211298366193</v>
      </c>
      <c r="G567" s="40">
        <v>566</v>
      </c>
    </row>
    <row r="568" spans="6:7" x14ac:dyDescent="0.3">
      <c r="F568" s="39">
        <v>100.46186310246756</v>
      </c>
      <c r="G568" s="38">
        <v>567</v>
      </c>
    </row>
    <row r="569" spans="6:7" x14ac:dyDescent="0.3">
      <c r="F569" s="39">
        <v>90.824506766208316</v>
      </c>
      <c r="G569" s="40">
        <v>568</v>
      </c>
    </row>
    <row r="570" spans="6:7" x14ac:dyDescent="0.3">
      <c r="F570" s="39">
        <v>91.406392898054463</v>
      </c>
      <c r="G570" s="38">
        <v>569</v>
      </c>
    </row>
    <row r="571" spans="6:7" x14ac:dyDescent="0.3">
      <c r="F571" s="39">
        <v>91.96796890329054</v>
      </c>
      <c r="G571" s="40">
        <v>570</v>
      </c>
    </row>
    <row r="572" spans="6:7" x14ac:dyDescent="0.3">
      <c r="F572" s="39">
        <v>93.296966257320236</v>
      </c>
      <c r="G572" s="38">
        <v>571</v>
      </c>
    </row>
    <row r="573" spans="6:7" x14ac:dyDescent="0.3">
      <c r="F573" s="39">
        <v>90.248232013673544</v>
      </c>
      <c r="G573" s="40">
        <v>572</v>
      </c>
    </row>
    <row r="574" spans="6:7" x14ac:dyDescent="0.3">
      <c r="F574" s="39">
        <v>100.3165763061</v>
      </c>
      <c r="G574" s="38">
        <v>573</v>
      </c>
    </row>
    <row r="575" spans="6:7" x14ac:dyDescent="0.3">
      <c r="F575" s="39">
        <v>88.618382317399906</v>
      </c>
      <c r="G575" s="40">
        <v>574</v>
      </c>
    </row>
    <row r="576" spans="6:7" x14ac:dyDescent="0.3">
      <c r="F576" s="39">
        <v>86.582391661717494</v>
      </c>
      <c r="G576" s="38">
        <v>575</v>
      </c>
    </row>
    <row r="577" spans="6:7" x14ac:dyDescent="0.3">
      <c r="F577" s="39">
        <v>90.234403182831741</v>
      </c>
      <c r="G577" s="40">
        <v>576</v>
      </c>
    </row>
    <row r="578" spans="6:7" x14ac:dyDescent="0.3">
      <c r="F578" s="39">
        <v>112.55560391626297</v>
      </c>
      <c r="G578" s="38">
        <v>577</v>
      </c>
    </row>
    <row r="579" spans="6:7" x14ac:dyDescent="0.3">
      <c r="F579" s="39">
        <v>109.16365304678962</v>
      </c>
      <c r="G579" s="40">
        <v>578</v>
      </c>
    </row>
    <row r="580" spans="6:7" x14ac:dyDescent="0.3">
      <c r="F580" s="39">
        <v>102.82825032008881</v>
      </c>
      <c r="G580" s="38">
        <v>579</v>
      </c>
    </row>
    <row r="581" spans="6:7" x14ac:dyDescent="0.3">
      <c r="F581" s="39">
        <v>94.741228611997869</v>
      </c>
      <c r="G581" s="40">
        <v>580</v>
      </c>
    </row>
    <row r="582" spans="6:7" x14ac:dyDescent="0.3">
      <c r="F582" s="39">
        <v>94.813396407358951</v>
      </c>
      <c r="G582" s="38">
        <v>581</v>
      </c>
    </row>
    <row r="583" spans="6:7" x14ac:dyDescent="0.3">
      <c r="F583" s="39">
        <v>93.150520385780112</v>
      </c>
      <c r="G583" s="40">
        <v>582</v>
      </c>
    </row>
    <row r="584" spans="6:7" x14ac:dyDescent="0.3">
      <c r="F584" s="39">
        <v>109.99836754372296</v>
      </c>
      <c r="G584" s="38">
        <v>583</v>
      </c>
    </row>
    <row r="585" spans="6:7" x14ac:dyDescent="0.3">
      <c r="F585" s="39">
        <v>99.814283016631649</v>
      </c>
      <c r="G585" s="40">
        <v>584</v>
      </c>
    </row>
    <row r="586" spans="6:7" x14ac:dyDescent="0.3">
      <c r="F586" s="39">
        <v>124.02554312440503</v>
      </c>
      <c r="G586" s="38">
        <v>585</v>
      </c>
    </row>
    <row r="587" spans="6:7" x14ac:dyDescent="0.3">
      <c r="F587" s="39">
        <v>104.99421614025451</v>
      </c>
      <c r="G587" s="40">
        <v>586</v>
      </c>
    </row>
    <row r="588" spans="6:7" x14ac:dyDescent="0.3">
      <c r="F588" s="39">
        <v>148.19959341485054</v>
      </c>
      <c r="G588" s="38">
        <v>587</v>
      </c>
    </row>
    <row r="589" spans="6:7" x14ac:dyDescent="0.3">
      <c r="F589" s="39">
        <v>88.744509716802</v>
      </c>
      <c r="G589" s="40">
        <v>588</v>
      </c>
    </row>
    <row r="590" spans="6:7" x14ac:dyDescent="0.3">
      <c r="F590" s="39">
        <v>159.74739185706756</v>
      </c>
      <c r="G590" s="38">
        <v>589</v>
      </c>
    </row>
    <row r="591" spans="6:7" x14ac:dyDescent="0.3">
      <c r="F591" s="39">
        <v>92.659176565288462</v>
      </c>
      <c r="G591" s="40">
        <v>590</v>
      </c>
    </row>
    <row r="592" spans="6:7" x14ac:dyDescent="0.3">
      <c r="F592" s="39">
        <v>86.291859366990636</v>
      </c>
      <c r="G592" s="38">
        <v>591</v>
      </c>
    </row>
    <row r="593" spans="6:7" x14ac:dyDescent="0.3">
      <c r="F593" s="39">
        <v>91.312921646394614</v>
      </c>
      <c r="G593" s="40">
        <v>592</v>
      </c>
    </row>
    <row r="594" spans="6:7" x14ac:dyDescent="0.3">
      <c r="F594" s="39">
        <v>88.097133535331324</v>
      </c>
      <c r="G594" s="38">
        <v>593</v>
      </c>
    </row>
    <row r="595" spans="6:7" x14ac:dyDescent="0.3">
      <c r="F595" s="39">
        <v>83.098232397671268</v>
      </c>
      <c r="G595" s="40">
        <v>594</v>
      </c>
    </row>
    <row r="596" spans="6:7" x14ac:dyDescent="0.3">
      <c r="F596" s="39">
        <v>88.252555493514919</v>
      </c>
      <c r="G596" s="38">
        <v>595</v>
      </c>
    </row>
    <row r="597" spans="6:7" x14ac:dyDescent="0.3">
      <c r="F597" s="39">
        <v>84.595198152642865</v>
      </c>
      <c r="G597" s="40">
        <v>596</v>
      </c>
    </row>
    <row r="598" spans="6:7" x14ac:dyDescent="0.3">
      <c r="F598" s="39">
        <v>95.407587998692065</v>
      </c>
      <c r="G598" s="38">
        <v>597</v>
      </c>
    </row>
    <row r="599" spans="6:7" x14ac:dyDescent="0.3">
      <c r="F599" s="39">
        <v>138.52272620086453</v>
      </c>
      <c r="G599" s="40">
        <v>598</v>
      </c>
    </row>
    <row r="600" spans="6:7" x14ac:dyDescent="0.3">
      <c r="F600" s="39">
        <v>83.77481147292049</v>
      </c>
      <c r="G600" s="38">
        <v>599</v>
      </c>
    </row>
    <row r="601" spans="6:7" x14ac:dyDescent="0.3">
      <c r="F601" s="39">
        <v>109.25278952839736</v>
      </c>
      <c r="G601" s="40">
        <v>600</v>
      </c>
    </row>
    <row r="602" spans="6:7" x14ac:dyDescent="0.3">
      <c r="F602" s="39">
        <v>86.076925517039143</v>
      </c>
      <c r="G602" s="38">
        <v>601</v>
      </c>
    </row>
    <row r="603" spans="6:7" x14ac:dyDescent="0.3">
      <c r="F603" s="39">
        <v>378.8190504079696</v>
      </c>
      <c r="G603" s="40">
        <v>602</v>
      </c>
    </row>
    <row r="604" spans="6:7" x14ac:dyDescent="0.3">
      <c r="F604" s="39">
        <v>101.88531203390592</v>
      </c>
      <c r="G604" s="38">
        <v>603</v>
      </c>
    </row>
    <row r="605" spans="6:7" x14ac:dyDescent="0.3">
      <c r="F605" s="39">
        <v>84.262458597118638</v>
      </c>
      <c r="G605" s="40">
        <v>604</v>
      </c>
    </row>
    <row r="606" spans="6:7" x14ac:dyDescent="0.3">
      <c r="F606" s="39">
        <v>94.08606176071828</v>
      </c>
      <c r="G606" s="38">
        <v>605</v>
      </c>
    </row>
    <row r="607" spans="6:7" x14ac:dyDescent="0.3">
      <c r="F607" s="39">
        <v>83.756064887259583</v>
      </c>
      <c r="G607" s="40">
        <v>606</v>
      </c>
    </row>
    <row r="608" spans="6:7" x14ac:dyDescent="0.3">
      <c r="F608" s="39">
        <v>84.761000987529513</v>
      </c>
      <c r="G608" s="38">
        <v>607</v>
      </c>
    </row>
    <row r="609" spans="6:7" x14ac:dyDescent="0.3">
      <c r="F609" s="39">
        <v>93.20309412535785</v>
      </c>
      <c r="G609" s="40">
        <v>608</v>
      </c>
    </row>
    <row r="610" spans="6:7" x14ac:dyDescent="0.3">
      <c r="F610" s="39">
        <v>115.95937591907392</v>
      </c>
      <c r="G610" s="38">
        <v>609</v>
      </c>
    </row>
    <row r="611" spans="6:7" x14ac:dyDescent="0.3">
      <c r="F611" s="39">
        <v>112.20366310842311</v>
      </c>
      <c r="G611" s="40">
        <v>610</v>
      </c>
    </row>
    <row r="612" spans="6:7" x14ac:dyDescent="0.3">
      <c r="F612" s="39">
        <v>112.78069968950408</v>
      </c>
      <c r="G612" s="38">
        <v>611</v>
      </c>
    </row>
    <row r="613" spans="6:7" x14ac:dyDescent="0.3">
      <c r="F613" s="39">
        <v>164.34025468201563</v>
      </c>
      <c r="G613" s="40">
        <v>612</v>
      </c>
    </row>
    <row r="614" spans="6:7" x14ac:dyDescent="0.3">
      <c r="F614" s="39">
        <v>89.583178717278088</v>
      </c>
      <c r="G614" s="38">
        <v>613</v>
      </c>
    </row>
    <row r="615" spans="6:7" x14ac:dyDescent="0.3">
      <c r="F615" s="39">
        <v>107.82815776021762</v>
      </c>
      <c r="G615" s="40">
        <v>614</v>
      </c>
    </row>
    <row r="616" spans="6:7" x14ac:dyDescent="0.3">
      <c r="F616" s="39">
        <v>103.82749029227264</v>
      </c>
      <c r="G616" s="38">
        <v>615</v>
      </c>
    </row>
    <row r="617" spans="6:7" x14ac:dyDescent="0.3">
      <c r="F617" s="39">
        <v>93.985466299038208</v>
      </c>
      <c r="G617" s="40">
        <v>616</v>
      </c>
    </row>
    <row r="618" spans="6:7" x14ac:dyDescent="0.3">
      <c r="F618" s="39">
        <v>91.595723658718413</v>
      </c>
      <c r="G618" s="38">
        <v>617</v>
      </c>
    </row>
    <row r="619" spans="6:7" x14ac:dyDescent="0.3">
      <c r="F619" s="39">
        <v>92.039394894838267</v>
      </c>
      <c r="G619" s="40">
        <v>618</v>
      </c>
    </row>
    <row r="620" spans="6:7" x14ac:dyDescent="0.3">
      <c r="F620" s="39">
        <v>114.03544821815771</v>
      </c>
      <c r="G620" s="38">
        <v>619</v>
      </c>
    </row>
    <row r="621" spans="6:7" x14ac:dyDescent="0.3">
      <c r="F621" s="39">
        <v>84.038883129119313</v>
      </c>
      <c r="G621" s="40">
        <v>620</v>
      </c>
    </row>
    <row r="622" spans="6:7" x14ac:dyDescent="0.3">
      <c r="F622" s="39">
        <v>84.77839801325176</v>
      </c>
      <c r="G622" s="38">
        <v>621</v>
      </c>
    </row>
    <row r="623" spans="6:7" x14ac:dyDescent="0.3">
      <c r="F623" s="39">
        <v>114.78765667992172</v>
      </c>
      <c r="G623" s="40">
        <v>622</v>
      </c>
    </row>
    <row r="624" spans="6:7" x14ac:dyDescent="0.3">
      <c r="F624" s="39">
        <v>104.42358226422513</v>
      </c>
      <c r="G624" s="38">
        <v>623</v>
      </c>
    </row>
    <row r="625" spans="6:7" x14ac:dyDescent="0.3">
      <c r="F625" s="39">
        <v>505.74299757292238</v>
      </c>
      <c r="G625" s="40">
        <v>624</v>
      </c>
    </row>
    <row r="626" spans="6:7" x14ac:dyDescent="0.3">
      <c r="F626" s="39">
        <v>86.676450780048995</v>
      </c>
      <c r="G626" s="38">
        <v>625</v>
      </c>
    </row>
    <row r="627" spans="6:7" x14ac:dyDescent="0.3">
      <c r="F627" s="39">
        <v>104.0436241894617</v>
      </c>
      <c r="G627" s="40">
        <v>626</v>
      </c>
    </row>
    <row r="628" spans="6:7" x14ac:dyDescent="0.3">
      <c r="F628" s="39">
        <v>97.353527541408837</v>
      </c>
      <c r="G628" s="38">
        <v>627</v>
      </c>
    </row>
    <row r="629" spans="6:7" x14ac:dyDescent="0.3">
      <c r="F629" s="39">
        <v>140.73627320342902</v>
      </c>
      <c r="G629" s="40">
        <v>628</v>
      </c>
    </row>
    <row r="630" spans="6:7" x14ac:dyDescent="0.3">
      <c r="F630" s="39">
        <v>104.19658287704505</v>
      </c>
      <c r="G630" s="38">
        <v>629</v>
      </c>
    </row>
    <row r="631" spans="6:7" x14ac:dyDescent="0.3">
      <c r="F631" s="39">
        <v>106.32511528103917</v>
      </c>
      <c r="G631" s="40">
        <v>630</v>
      </c>
    </row>
    <row r="632" spans="6:7" x14ac:dyDescent="0.3">
      <c r="F632" s="39">
        <v>175.83650446185132</v>
      </c>
      <c r="G632" s="38">
        <v>631</v>
      </c>
    </row>
    <row r="633" spans="6:7" x14ac:dyDescent="0.3">
      <c r="F633" s="39">
        <v>116.02398243030729</v>
      </c>
      <c r="G633" s="40">
        <v>632</v>
      </c>
    </row>
    <row r="634" spans="6:7" x14ac:dyDescent="0.3">
      <c r="F634" s="39">
        <v>149.44300334787977</v>
      </c>
      <c r="G634" s="38">
        <v>633</v>
      </c>
    </row>
    <row r="635" spans="6:7" x14ac:dyDescent="0.3">
      <c r="F635" s="39">
        <v>134.61966319119526</v>
      </c>
      <c r="G635" s="40">
        <v>634</v>
      </c>
    </row>
    <row r="636" spans="6:7" x14ac:dyDescent="0.3">
      <c r="F636" s="39">
        <v>85.863075429598865</v>
      </c>
      <c r="G636" s="38">
        <v>635</v>
      </c>
    </row>
    <row r="637" spans="6:7" x14ac:dyDescent="0.3">
      <c r="F637" s="39">
        <v>100.39877853214364</v>
      </c>
      <c r="G637" s="40">
        <v>636</v>
      </c>
    </row>
    <row r="638" spans="6:7" x14ac:dyDescent="0.3">
      <c r="F638" s="39">
        <v>85.514767270622968</v>
      </c>
      <c r="G638" s="38">
        <v>637</v>
      </c>
    </row>
    <row r="639" spans="6:7" x14ac:dyDescent="0.3">
      <c r="F639" s="39">
        <v>100.11916995800237</v>
      </c>
      <c r="G639" s="40">
        <v>638</v>
      </c>
    </row>
    <row r="640" spans="6:7" x14ac:dyDescent="0.3">
      <c r="F640" s="39">
        <v>89.387133574026848</v>
      </c>
      <c r="G640" s="38">
        <v>639</v>
      </c>
    </row>
    <row r="641" spans="6:7" x14ac:dyDescent="0.3">
      <c r="F641" s="39">
        <v>89.480864492742882</v>
      </c>
      <c r="G641" s="40">
        <v>640</v>
      </c>
    </row>
    <row r="642" spans="6:7" x14ac:dyDescent="0.3">
      <c r="F642" s="39">
        <v>89.026999676966994</v>
      </c>
      <c r="G642" s="38">
        <v>641</v>
      </c>
    </row>
    <row r="643" spans="6:7" x14ac:dyDescent="0.3">
      <c r="F643" s="39">
        <v>82.556538788622987</v>
      </c>
      <c r="G643" s="40">
        <v>642</v>
      </c>
    </row>
    <row r="644" spans="6:7" x14ac:dyDescent="0.3">
      <c r="F644" s="39">
        <v>99.364792362359267</v>
      </c>
      <c r="G644" s="38">
        <v>643</v>
      </c>
    </row>
    <row r="645" spans="6:7" x14ac:dyDescent="0.3">
      <c r="F645" s="39">
        <v>82.704394958294571</v>
      </c>
      <c r="G645" s="40">
        <v>644</v>
      </c>
    </row>
    <row r="646" spans="6:7" x14ac:dyDescent="0.3">
      <c r="F646" s="39">
        <v>458.30410080171009</v>
      </c>
      <c r="G646" s="38">
        <v>645</v>
      </c>
    </row>
    <row r="647" spans="6:7" x14ac:dyDescent="0.3">
      <c r="F647" s="39">
        <v>90.276348506840677</v>
      </c>
      <c r="G647" s="40">
        <v>646</v>
      </c>
    </row>
    <row r="648" spans="6:7" x14ac:dyDescent="0.3">
      <c r="F648" s="39">
        <v>108.02789869465134</v>
      </c>
      <c r="G648" s="38">
        <v>647</v>
      </c>
    </row>
    <row r="649" spans="6:7" x14ac:dyDescent="0.3">
      <c r="F649" s="39">
        <v>133.97171667350173</v>
      </c>
      <c r="G649" s="40">
        <v>648</v>
      </c>
    </row>
    <row r="650" spans="6:7" x14ac:dyDescent="0.3">
      <c r="F650" s="39">
        <v>83.914309687547927</v>
      </c>
      <c r="G650" s="38">
        <v>649</v>
      </c>
    </row>
    <row r="651" spans="6:7" x14ac:dyDescent="0.3">
      <c r="F651" s="39">
        <v>124.71056104220372</v>
      </c>
      <c r="G651" s="40">
        <v>650</v>
      </c>
    </row>
    <row r="652" spans="6:7" x14ac:dyDescent="0.3">
      <c r="F652" s="39">
        <v>81.820900218163573</v>
      </c>
      <c r="G652" s="38">
        <v>651</v>
      </c>
    </row>
    <row r="653" spans="6:7" x14ac:dyDescent="0.3">
      <c r="F653" s="39">
        <v>118.81378943334805</v>
      </c>
      <c r="G653" s="40">
        <v>652</v>
      </c>
    </row>
    <row r="654" spans="6:7" x14ac:dyDescent="0.3">
      <c r="F654" s="39">
        <v>474.90980177320898</v>
      </c>
      <c r="G654" s="38">
        <v>653</v>
      </c>
    </row>
    <row r="655" spans="6:7" x14ac:dyDescent="0.3">
      <c r="F655" s="39">
        <v>102.19145822811888</v>
      </c>
      <c r="G655" s="40">
        <v>654</v>
      </c>
    </row>
    <row r="656" spans="6:7" x14ac:dyDescent="0.3">
      <c r="F656" s="39">
        <v>96.061531403216492</v>
      </c>
      <c r="G656" s="38">
        <v>655</v>
      </c>
    </row>
    <row r="657" spans="6:7" x14ac:dyDescent="0.3">
      <c r="F657" s="39">
        <v>289.71097161560579</v>
      </c>
      <c r="G657" s="40">
        <v>656</v>
      </c>
    </row>
    <row r="658" spans="6:7" x14ac:dyDescent="0.3">
      <c r="F658" s="39">
        <v>89.913983443519101</v>
      </c>
      <c r="G658" s="38">
        <v>657</v>
      </c>
    </row>
    <row r="659" spans="6:7" x14ac:dyDescent="0.3">
      <c r="F659" s="39">
        <v>96.895331748093469</v>
      </c>
      <c r="G659" s="40">
        <v>658</v>
      </c>
    </row>
    <row r="660" spans="6:7" x14ac:dyDescent="0.3">
      <c r="F660" s="39">
        <v>81.404073783758037</v>
      </c>
      <c r="G660" s="38">
        <v>659</v>
      </c>
    </row>
    <row r="661" spans="6:7" x14ac:dyDescent="0.3">
      <c r="F661" s="39">
        <v>82.965549335157505</v>
      </c>
      <c r="G661" s="40">
        <v>660</v>
      </c>
    </row>
    <row r="662" spans="6:7" x14ac:dyDescent="0.3">
      <c r="F662" s="39">
        <v>120.65921673120491</v>
      </c>
      <c r="G662" s="38">
        <v>661</v>
      </c>
    </row>
    <row r="663" spans="6:7" x14ac:dyDescent="0.3">
      <c r="F663" s="39">
        <v>99.10388228115238</v>
      </c>
      <c r="G663" s="40">
        <v>662</v>
      </c>
    </row>
    <row r="664" spans="6:7" x14ac:dyDescent="0.3">
      <c r="F664" s="39">
        <v>108.87363816447377</v>
      </c>
      <c r="G664" s="38">
        <v>663</v>
      </c>
    </row>
    <row r="665" spans="6:7" x14ac:dyDescent="0.3">
      <c r="F665" s="39">
        <v>119.74181989176169</v>
      </c>
      <c r="G665" s="40">
        <v>664</v>
      </c>
    </row>
    <row r="666" spans="6:7" x14ac:dyDescent="0.3">
      <c r="F666" s="39">
        <v>86.168879976183646</v>
      </c>
      <c r="G666" s="38">
        <v>665</v>
      </c>
    </row>
    <row r="667" spans="6:7" x14ac:dyDescent="0.3">
      <c r="F667" s="39">
        <v>101.06171176654085</v>
      </c>
      <c r="G667" s="40">
        <v>666</v>
      </c>
    </row>
    <row r="668" spans="6:7" x14ac:dyDescent="0.3">
      <c r="F668" s="39">
        <v>92.338481825272481</v>
      </c>
      <c r="G668" s="38">
        <v>667</v>
      </c>
    </row>
    <row r="669" spans="6:7" x14ac:dyDescent="0.3">
      <c r="F669" s="39">
        <v>108.30931250683908</v>
      </c>
      <c r="G669" s="40">
        <v>668</v>
      </c>
    </row>
    <row r="670" spans="6:7" x14ac:dyDescent="0.3">
      <c r="F670" s="39">
        <v>85.022153366394122</v>
      </c>
      <c r="G670" s="38">
        <v>669</v>
      </c>
    </row>
    <row r="671" spans="6:7" x14ac:dyDescent="0.3">
      <c r="F671" s="39">
        <v>116.82791948221617</v>
      </c>
      <c r="G671" s="40">
        <v>670</v>
      </c>
    </row>
    <row r="672" spans="6:7" x14ac:dyDescent="0.3">
      <c r="F672" s="39">
        <v>84.316817764417237</v>
      </c>
      <c r="G672" s="38">
        <v>671</v>
      </c>
    </row>
    <row r="673" spans="6:7" x14ac:dyDescent="0.3">
      <c r="F673" s="39">
        <v>83.234316387974687</v>
      </c>
      <c r="G673" s="40">
        <v>672</v>
      </c>
    </row>
    <row r="674" spans="6:7" x14ac:dyDescent="0.3">
      <c r="F674" s="39">
        <v>102.57105199767085</v>
      </c>
      <c r="G674" s="38">
        <v>673</v>
      </c>
    </row>
    <row r="675" spans="6:7" x14ac:dyDescent="0.3">
      <c r="F675" s="39">
        <v>83.377015157527552</v>
      </c>
      <c r="G675" s="40">
        <v>674</v>
      </c>
    </row>
    <row r="676" spans="6:7" x14ac:dyDescent="0.3">
      <c r="F676" s="39">
        <v>86.832541985521701</v>
      </c>
      <c r="G676" s="38">
        <v>675</v>
      </c>
    </row>
    <row r="677" spans="6:7" x14ac:dyDescent="0.3">
      <c r="F677" s="39">
        <v>85.391076360648398</v>
      </c>
      <c r="G677" s="40">
        <v>676</v>
      </c>
    </row>
    <row r="678" spans="6:7" x14ac:dyDescent="0.3">
      <c r="F678" s="39">
        <v>83.226016554355681</v>
      </c>
      <c r="G678" s="38">
        <v>677</v>
      </c>
    </row>
    <row r="679" spans="6:7" x14ac:dyDescent="0.3">
      <c r="F679" s="39">
        <v>90.11989640705724</v>
      </c>
      <c r="G679" s="40">
        <v>678</v>
      </c>
    </row>
    <row r="680" spans="6:7" x14ac:dyDescent="0.3">
      <c r="F680" s="39">
        <v>100.36649587209654</v>
      </c>
      <c r="G680" s="38">
        <v>679</v>
      </c>
    </row>
    <row r="681" spans="6:7" x14ac:dyDescent="0.3">
      <c r="F681" s="39">
        <v>107.86543059716097</v>
      </c>
      <c r="G681" s="40">
        <v>680</v>
      </c>
    </row>
    <row r="682" spans="6:7" x14ac:dyDescent="0.3">
      <c r="F682" s="39">
        <v>90.23523194095381</v>
      </c>
      <c r="G682" s="38">
        <v>681</v>
      </c>
    </row>
    <row r="683" spans="6:7" x14ac:dyDescent="0.3">
      <c r="F683" s="39">
        <v>85.533771665195417</v>
      </c>
      <c r="G683" s="40">
        <v>682</v>
      </c>
    </row>
    <row r="684" spans="6:7" x14ac:dyDescent="0.3">
      <c r="F684" s="39">
        <v>139.02121573707865</v>
      </c>
      <c r="G684" s="38">
        <v>683</v>
      </c>
    </row>
    <row r="685" spans="6:7" x14ac:dyDescent="0.3">
      <c r="F685" s="39">
        <v>91.79522634074155</v>
      </c>
      <c r="G685" s="40">
        <v>684</v>
      </c>
    </row>
    <row r="686" spans="6:7" x14ac:dyDescent="0.3">
      <c r="F686" s="39">
        <v>88.600961912936384</v>
      </c>
      <c r="G686" s="38">
        <v>685</v>
      </c>
    </row>
    <row r="687" spans="6:7" x14ac:dyDescent="0.3">
      <c r="F687" s="39">
        <v>95.548274300826478</v>
      </c>
      <c r="G687" s="40">
        <v>686</v>
      </c>
    </row>
    <row r="688" spans="6:7" x14ac:dyDescent="0.3">
      <c r="F688" s="39">
        <v>84.27919740871063</v>
      </c>
      <c r="G688" s="38">
        <v>687</v>
      </c>
    </row>
    <row r="689" spans="6:7" x14ac:dyDescent="0.3">
      <c r="F689" s="39">
        <v>159.15725460541634</v>
      </c>
      <c r="G689" s="40">
        <v>688</v>
      </c>
    </row>
    <row r="690" spans="6:7" x14ac:dyDescent="0.3">
      <c r="F690" s="39">
        <v>87.381093683423842</v>
      </c>
      <c r="G690" s="38">
        <v>689</v>
      </c>
    </row>
    <row r="691" spans="6:7" x14ac:dyDescent="0.3">
      <c r="F691" s="39">
        <v>90.40373340411395</v>
      </c>
      <c r="G691" s="40">
        <v>690</v>
      </c>
    </row>
    <row r="692" spans="6:7" x14ac:dyDescent="0.3">
      <c r="F692" s="39">
        <v>91.117162640605812</v>
      </c>
      <c r="G692" s="38">
        <v>691</v>
      </c>
    </row>
    <row r="693" spans="6:7" x14ac:dyDescent="0.3">
      <c r="F693" s="39">
        <v>84.015197044695299</v>
      </c>
      <c r="G693" s="40">
        <v>692</v>
      </c>
    </row>
    <row r="694" spans="6:7" x14ac:dyDescent="0.3">
      <c r="F694" s="39">
        <v>102.87335987928643</v>
      </c>
      <c r="G694" s="38">
        <v>693</v>
      </c>
    </row>
    <row r="695" spans="6:7" x14ac:dyDescent="0.3">
      <c r="F695" s="39">
        <v>96.755703767384304</v>
      </c>
      <c r="G695" s="40">
        <v>694</v>
      </c>
    </row>
    <row r="696" spans="6:7" x14ac:dyDescent="0.3">
      <c r="F696" s="39">
        <v>90.654277017537652</v>
      </c>
      <c r="G696" s="38">
        <v>695</v>
      </c>
    </row>
    <row r="697" spans="6:7" x14ac:dyDescent="0.3">
      <c r="F697" s="39">
        <v>127.83754897632043</v>
      </c>
      <c r="G697" s="40">
        <v>696</v>
      </c>
    </row>
    <row r="698" spans="6:7" x14ac:dyDescent="0.3">
      <c r="F698" s="39">
        <v>110.23352083902236</v>
      </c>
      <c r="G698" s="38">
        <v>697</v>
      </c>
    </row>
    <row r="699" spans="6:7" x14ac:dyDescent="0.3">
      <c r="F699" s="39">
        <v>94.129564185740705</v>
      </c>
      <c r="G699" s="40">
        <v>698</v>
      </c>
    </row>
    <row r="700" spans="6:7" x14ac:dyDescent="0.3">
      <c r="F700" s="39">
        <v>93.808470291649058</v>
      </c>
      <c r="G700" s="38">
        <v>699</v>
      </c>
    </row>
    <row r="701" spans="6:7" x14ac:dyDescent="0.3">
      <c r="F701" s="39">
        <v>88.236003401528677</v>
      </c>
      <c r="G701" s="40">
        <v>700</v>
      </c>
    </row>
    <row r="702" spans="6:7" x14ac:dyDescent="0.3">
      <c r="F702" s="39">
        <v>91.897552944394448</v>
      </c>
      <c r="G702" s="38">
        <v>701</v>
      </c>
    </row>
    <row r="703" spans="6:7" x14ac:dyDescent="0.3">
      <c r="F703" s="39">
        <v>83.314817019057926</v>
      </c>
      <c r="G703" s="40">
        <v>702</v>
      </c>
    </row>
    <row r="704" spans="6:7" x14ac:dyDescent="0.3">
      <c r="F704" s="39">
        <v>95.539786319306984</v>
      </c>
      <c r="G704" s="38">
        <v>703</v>
      </c>
    </row>
    <row r="705" spans="6:7" x14ac:dyDescent="0.3">
      <c r="F705" s="39">
        <v>85.048820487139849</v>
      </c>
      <c r="G705" s="40">
        <v>704</v>
      </c>
    </row>
    <row r="706" spans="6:7" x14ac:dyDescent="0.3">
      <c r="F706" s="39">
        <v>89.194360814920117</v>
      </c>
      <c r="G706" s="38">
        <v>705</v>
      </c>
    </row>
    <row r="707" spans="6:7" x14ac:dyDescent="0.3">
      <c r="F707" s="39">
        <v>87.335113818617742</v>
      </c>
      <c r="G707" s="40">
        <v>706</v>
      </c>
    </row>
    <row r="708" spans="6:7" x14ac:dyDescent="0.3">
      <c r="F708" s="39">
        <v>144.97077771679176</v>
      </c>
      <c r="G708" s="38">
        <v>707</v>
      </c>
    </row>
    <row r="709" spans="6:7" x14ac:dyDescent="0.3">
      <c r="F709" s="39">
        <v>129.39490098681213</v>
      </c>
      <c r="G709" s="40">
        <v>708</v>
      </c>
    </row>
    <row r="710" spans="6:7" x14ac:dyDescent="0.3">
      <c r="F710" s="39">
        <v>116.02091687090549</v>
      </c>
      <c r="G710" s="38">
        <v>709</v>
      </c>
    </row>
    <row r="711" spans="6:7" x14ac:dyDescent="0.3">
      <c r="F711" s="39">
        <v>134.41071238739869</v>
      </c>
      <c r="G711" s="40">
        <v>710</v>
      </c>
    </row>
    <row r="712" spans="6:7" x14ac:dyDescent="0.3">
      <c r="F712" s="39">
        <v>86.458843114541949</v>
      </c>
      <c r="G712" s="38">
        <v>711</v>
      </c>
    </row>
    <row r="713" spans="6:7" x14ac:dyDescent="0.3">
      <c r="F713" s="39">
        <v>106.8873224496384</v>
      </c>
      <c r="G713" s="40">
        <v>712</v>
      </c>
    </row>
    <row r="714" spans="6:7" x14ac:dyDescent="0.3">
      <c r="F714" s="39">
        <v>89.279094029400454</v>
      </c>
      <c r="G714" s="38">
        <v>713</v>
      </c>
    </row>
    <row r="715" spans="6:7" x14ac:dyDescent="0.3">
      <c r="F715" s="39">
        <v>93.409793594051521</v>
      </c>
      <c r="G715" s="40">
        <v>714</v>
      </c>
    </row>
    <row r="716" spans="6:7" x14ac:dyDescent="0.3">
      <c r="F716" s="39">
        <v>168.98977068377832</v>
      </c>
      <c r="G716" s="38">
        <v>715</v>
      </c>
    </row>
    <row r="717" spans="6:7" x14ac:dyDescent="0.3">
      <c r="F717" s="39">
        <v>99.629733762388625</v>
      </c>
      <c r="G717" s="40">
        <v>716</v>
      </c>
    </row>
    <row r="718" spans="6:7" x14ac:dyDescent="0.3">
      <c r="F718" s="39">
        <v>165.40586304249709</v>
      </c>
      <c r="G718" s="38">
        <v>717</v>
      </c>
    </row>
    <row r="719" spans="6:7" x14ac:dyDescent="0.3">
      <c r="F719" s="39">
        <v>112.41229919785697</v>
      </c>
      <c r="G719" s="40">
        <v>718</v>
      </c>
    </row>
    <row r="720" spans="6:7" x14ac:dyDescent="0.3">
      <c r="F720" s="39">
        <v>84.74174740769196</v>
      </c>
      <c r="G720" s="38">
        <v>719</v>
      </c>
    </row>
    <row r="721" spans="6:7" x14ac:dyDescent="0.3">
      <c r="F721" s="39">
        <v>108.94939573851626</v>
      </c>
      <c r="G721" s="40">
        <v>720</v>
      </c>
    </row>
    <row r="722" spans="6:7" x14ac:dyDescent="0.3">
      <c r="F722" s="39">
        <v>123.83768665350951</v>
      </c>
      <c r="G722" s="38">
        <v>721</v>
      </c>
    </row>
    <row r="723" spans="6:7" x14ac:dyDescent="0.3">
      <c r="F723" s="39">
        <v>84.217580162463662</v>
      </c>
      <c r="G723" s="40">
        <v>722</v>
      </c>
    </row>
    <row r="724" spans="6:7" x14ac:dyDescent="0.3">
      <c r="F724" s="39">
        <v>90.320051819894331</v>
      </c>
      <c r="G724" s="38">
        <v>723</v>
      </c>
    </row>
    <row r="725" spans="6:7" x14ac:dyDescent="0.3">
      <c r="F725" s="39">
        <v>91.641633444193104</v>
      </c>
      <c r="G725" s="40">
        <v>724</v>
      </c>
    </row>
    <row r="726" spans="6:7" x14ac:dyDescent="0.3">
      <c r="F726" s="39">
        <v>98.513341712867685</v>
      </c>
      <c r="G726" s="38">
        <v>725</v>
      </c>
    </row>
    <row r="727" spans="6:7" x14ac:dyDescent="0.3">
      <c r="F727" s="39">
        <v>89.28640656900896</v>
      </c>
      <c r="G727" s="40">
        <v>726</v>
      </c>
    </row>
    <row r="728" spans="6:7" x14ac:dyDescent="0.3">
      <c r="F728" s="39">
        <v>264.56922616553857</v>
      </c>
      <c r="G728" s="38">
        <v>727</v>
      </c>
    </row>
    <row r="729" spans="6:7" x14ac:dyDescent="0.3">
      <c r="F729" s="39">
        <v>131.6383548131538</v>
      </c>
      <c r="G729" s="40">
        <v>728</v>
      </c>
    </row>
    <row r="730" spans="6:7" x14ac:dyDescent="0.3">
      <c r="F730" s="39">
        <v>101.86438692961161</v>
      </c>
      <c r="G730" s="38">
        <v>729</v>
      </c>
    </row>
    <row r="731" spans="6:7" x14ac:dyDescent="0.3">
      <c r="F731" s="39">
        <v>96.801979194189727</v>
      </c>
      <c r="G731" s="40">
        <v>730</v>
      </c>
    </row>
    <row r="732" spans="6:7" x14ac:dyDescent="0.3">
      <c r="F732" s="39">
        <v>82.313036269697918</v>
      </c>
      <c r="G732" s="38">
        <v>731</v>
      </c>
    </row>
    <row r="733" spans="6:7" x14ac:dyDescent="0.3">
      <c r="F733" s="39">
        <v>109.57359896023374</v>
      </c>
      <c r="G733" s="40">
        <v>732</v>
      </c>
    </row>
    <row r="734" spans="6:7" x14ac:dyDescent="0.3">
      <c r="F734" s="39">
        <v>87.747673373178557</v>
      </c>
      <c r="G734" s="38">
        <v>733</v>
      </c>
    </row>
    <row r="735" spans="6:7" x14ac:dyDescent="0.3">
      <c r="F735" s="39">
        <v>86.866559199537861</v>
      </c>
      <c r="G735" s="40">
        <v>734</v>
      </c>
    </row>
    <row r="736" spans="6:7" x14ac:dyDescent="0.3">
      <c r="F736" s="39">
        <v>92.689463360074711</v>
      </c>
      <c r="G736" s="38">
        <v>735</v>
      </c>
    </row>
    <row r="737" spans="6:7" x14ac:dyDescent="0.3">
      <c r="F737" s="39">
        <v>92.650211636707439</v>
      </c>
      <c r="G737" s="40">
        <v>736</v>
      </c>
    </row>
    <row r="738" spans="6:7" x14ac:dyDescent="0.3">
      <c r="F738" s="39">
        <v>83.12042472416833</v>
      </c>
      <c r="G738" s="38">
        <v>737</v>
      </c>
    </row>
    <row r="739" spans="6:7" x14ac:dyDescent="0.3">
      <c r="F739" s="39">
        <v>111.57957858715345</v>
      </c>
      <c r="G739" s="40">
        <v>738</v>
      </c>
    </row>
    <row r="740" spans="6:7" x14ac:dyDescent="0.3">
      <c r="F740" s="39">
        <v>124.36185670918202</v>
      </c>
      <c r="G740" s="38">
        <v>739</v>
      </c>
    </row>
    <row r="741" spans="6:7" x14ac:dyDescent="0.3">
      <c r="F741" s="39">
        <v>94.531341325651937</v>
      </c>
      <c r="G741" s="40">
        <v>740</v>
      </c>
    </row>
    <row r="742" spans="6:7" x14ac:dyDescent="0.3">
      <c r="F742" s="39">
        <v>147.74259556907182</v>
      </c>
      <c r="G742" s="38">
        <v>741</v>
      </c>
    </row>
    <row r="743" spans="6:7" x14ac:dyDescent="0.3">
      <c r="F743" s="39">
        <v>106.82443745462407</v>
      </c>
      <c r="G743" s="40">
        <v>742</v>
      </c>
    </row>
    <row r="744" spans="6:7" x14ac:dyDescent="0.3">
      <c r="F744" s="39">
        <v>87.087284800464147</v>
      </c>
      <c r="G744" s="38">
        <v>743</v>
      </c>
    </row>
    <row r="745" spans="6:7" x14ac:dyDescent="0.3">
      <c r="F745" s="39">
        <v>82.000490941315888</v>
      </c>
      <c r="G745" s="40">
        <v>744</v>
      </c>
    </row>
    <row r="746" spans="6:7" x14ac:dyDescent="0.3">
      <c r="F746" s="39">
        <v>83.930517100322831</v>
      </c>
      <c r="G746" s="38">
        <v>745</v>
      </c>
    </row>
    <row r="747" spans="6:7" x14ac:dyDescent="0.3">
      <c r="F747" s="39">
        <v>89.285504782064947</v>
      </c>
      <c r="G747" s="40">
        <v>746</v>
      </c>
    </row>
    <row r="748" spans="6:7" x14ac:dyDescent="0.3">
      <c r="F748" s="39">
        <v>85.261551383618738</v>
      </c>
      <c r="G748" s="38">
        <v>747</v>
      </c>
    </row>
    <row r="749" spans="6:7" x14ac:dyDescent="0.3">
      <c r="F749" s="39">
        <v>83.593878303466198</v>
      </c>
      <c r="G749" s="40">
        <v>748</v>
      </c>
    </row>
    <row r="750" spans="6:7" x14ac:dyDescent="0.3">
      <c r="F750" s="39">
        <v>107.27453926413128</v>
      </c>
      <c r="G750" s="38">
        <v>749</v>
      </c>
    </row>
    <row r="751" spans="6:7" x14ac:dyDescent="0.3">
      <c r="F751" s="39">
        <v>95.330928053423634</v>
      </c>
      <c r="G751" s="40">
        <v>750</v>
      </c>
    </row>
    <row r="752" spans="6:7" x14ac:dyDescent="0.3">
      <c r="F752" s="39">
        <v>107.2004639836224</v>
      </c>
      <c r="G752" s="38">
        <v>751</v>
      </c>
    </row>
    <row r="753" spans="6:7" x14ac:dyDescent="0.3">
      <c r="F753" s="39">
        <v>83.290459572965176</v>
      </c>
      <c r="G753" s="40">
        <v>752</v>
      </c>
    </row>
    <row r="754" spans="6:7" x14ac:dyDescent="0.3">
      <c r="F754" s="39">
        <v>83.95297399398126</v>
      </c>
      <c r="G754" s="38">
        <v>753</v>
      </c>
    </row>
    <row r="755" spans="6:7" x14ac:dyDescent="0.3">
      <c r="F755" s="39">
        <v>101.81416394865563</v>
      </c>
      <c r="G755" s="40">
        <v>754</v>
      </c>
    </row>
    <row r="756" spans="6:7" x14ac:dyDescent="0.3">
      <c r="F756" s="39">
        <v>84.934792954455361</v>
      </c>
      <c r="G756" s="38">
        <v>755</v>
      </c>
    </row>
    <row r="757" spans="6:7" x14ac:dyDescent="0.3">
      <c r="F757" s="39">
        <v>82.930480893699794</v>
      </c>
      <c r="G757" s="40">
        <v>756</v>
      </c>
    </row>
    <row r="758" spans="6:7" x14ac:dyDescent="0.3">
      <c r="F758" s="39">
        <v>104.47465774668954</v>
      </c>
      <c r="G758" s="38">
        <v>757</v>
      </c>
    </row>
    <row r="759" spans="6:7" x14ac:dyDescent="0.3">
      <c r="F759" s="39">
        <v>89.354229134660144</v>
      </c>
      <c r="G759" s="40">
        <v>758</v>
      </c>
    </row>
    <row r="760" spans="6:7" x14ac:dyDescent="0.3">
      <c r="F760" s="39">
        <v>95.761916311501253</v>
      </c>
      <c r="G760" s="38">
        <v>759</v>
      </c>
    </row>
    <row r="761" spans="6:7" x14ac:dyDescent="0.3">
      <c r="F761" s="39">
        <v>88.473531417667544</v>
      </c>
      <c r="G761" s="40">
        <v>760</v>
      </c>
    </row>
    <row r="762" spans="6:7" x14ac:dyDescent="0.3">
      <c r="F762" s="39">
        <v>82.677112885766348</v>
      </c>
      <c r="G762" s="38">
        <v>761</v>
      </c>
    </row>
    <row r="763" spans="6:7" x14ac:dyDescent="0.3">
      <c r="F763" s="39">
        <v>115.06913693792865</v>
      </c>
      <c r="G763" s="40">
        <v>762</v>
      </c>
    </row>
    <row r="764" spans="6:7" x14ac:dyDescent="0.3">
      <c r="F764" s="39">
        <v>126.61237711062432</v>
      </c>
      <c r="G764" s="38">
        <v>763</v>
      </c>
    </row>
    <row r="765" spans="6:7" x14ac:dyDescent="0.3">
      <c r="F765" s="39">
        <v>100.36383410072902</v>
      </c>
      <c r="G765" s="40">
        <v>764</v>
      </c>
    </row>
    <row r="766" spans="6:7" x14ac:dyDescent="0.3">
      <c r="F766" s="39">
        <v>107.79431870173742</v>
      </c>
      <c r="G766" s="38">
        <v>765</v>
      </c>
    </row>
    <row r="767" spans="6:7" x14ac:dyDescent="0.3">
      <c r="F767" s="39">
        <v>123.83058984305183</v>
      </c>
      <c r="G767" s="40">
        <v>766</v>
      </c>
    </row>
    <row r="768" spans="6:7" x14ac:dyDescent="0.3">
      <c r="F768" s="39">
        <v>87.319097963070149</v>
      </c>
      <c r="G768" s="38">
        <v>767</v>
      </c>
    </row>
    <row r="769" spans="6:7" x14ac:dyDescent="0.3">
      <c r="F769" s="39">
        <v>95.683016837918771</v>
      </c>
      <c r="G769" s="40">
        <v>768</v>
      </c>
    </row>
    <row r="770" spans="6:7" x14ac:dyDescent="0.3">
      <c r="F770" s="39">
        <v>84.520583347956006</v>
      </c>
      <c r="G770" s="38">
        <v>769</v>
      </c>
    </row>
    <row r="771" spans="6:7" x14ac:dyDescent="0.3">
      <c r="F771" s="39">
        <v>103.40642255745325</v>
      </c>
      <c r="G771" s="40">
        <v>770</v>
      </c>
    </row>
    <row r="772" spans="6:7" x14ac:dyDescent="0.3">
      <c r="F772" s="39">
        <v>152.1364012759079</v>
      </c>
      <c r="G772" s="38">
        <v>771</v>
      </c>
    </row>
    <row r="773" spans="6:7" x14ac:dyDescent="0.3">
      <c r="F773" s="39">
        <v>85.690724188614752</v>
      </c>
      <c r="G773" s="40">
        <v>772</v>
      </c>
    </row>
    <row r="774" spans="6:7" x14ac:dyDescent="0.3">
      <c r="F774" s="39">
        <v>96.617944300319905</v>
      </c>
      <c r="G774" s="38">
        <v>773</v>
      </c>
    </row>
    <row r="775" spans="6:7" x14ac:dyDescent="0.3">
      <c r="F775" s="39">
        <v>129.0585829162377</v>
      </c>
      <c r="G775" s="40">
        <v>774</v>
      </c>
    </row>
    <row r="776" spans="6:7" x14ac:dyDescent="0.3">
      <c r="F776" s="39">
        <v>124.0759698582157</v>
      </c>
      <c r="G776" s="38">
        <v>775</v>
      </c>
    </row>
    <row r="777" spans="6:7" x14ac:dyDescent="0.3">
      <c r="F777" s="39">
        <v>87.159431583486537</v>
      </c>
      <c r="G777" s="40">
        <v>776</v>
      </c>
    </row>
    <row r="778" spans="6:7" x14ac:dyDescent="0.3">
      <c r="F778" s="39">
        <v>107.1765853448709</v>
      </c>
      <c r="G778" s="38">
        <v>777</v>
      </c>
    </row>
    <row r="779" spans="6:7" x14ac:dyDescent="0.3">
      <c r="F779" s="39">
        <v>118.02788401541012</v>
      </c>
      <c r="G779" s="40">
        <v>778</v>
      </c>
    </row>
    <row r="780" spans="6:7" x14ac:dyDescent="0.3">
      <c r="F780" s="39">
        <v>84.982483721897353</v>
      </c>
      <c r="G780" s="38">
        <v>779</v>
      </c>
    </row>
    <row r="781" spans="6:7" x14ac:dyDescent="0.3">
      <c r="F781" s="39">
        <v>177.30116140963833</v>
      </c>
      <c r="G781" s="40">
        <v>780</v>
      </c>
    </row>
    <row r="782" spans="6:7" x14ac:dyDescent="0.3">
      <c r="F782" s="39">
        <v>85.09690171059529</v>
      </c>
      <c r="G782" s="38">
        <v>781</v>
      </c>
    </row>
    <row r="783" spans="6:7" x14ac:dyDescent="0.3">
      <c r="F783" s="39">
        <v>109.78271935142902</v>
      </c>
      <c r="G783" s="40">
        <v>782</v>
      </c>
    </row>
    <row r="784" spans="6:7" x14ac:dyDescent="0.3">
      <c r="F784" s="39">
        <v>110.43574651270586</v>
      </c>
      <c r="G784" s="38">
        <v>783</v>
      </c>
    </row>
    <row r="785" spans="6:7" x14ac:dyDescent="0.3">
      <c r="F785" s="39">
        <v>91.659366887869908</v>
      </c>
      <c r="G785" s="40">
        <v>784</v>
      </c>
    </row>
    <row r="786" spans="6:7" x14ac:dyDescent="0.3">
      <c r="F786" s="39">
        <v>86.247848997706626</v>
      </c>
      <c r="G786" s="38">
        <v>785</v>
      </c>
    </row>
    <row r="787" spans="6:7" x14ac:dyDescent="0.3">
      <c r="F787" s="39">
        <v>81.508580591279866</v>
      </c>
      <c r="G787" s="40">
        <v>786</v>
      </c>
    </row>
    <row r="788" spans="6:7" x14ac:dyDescent="0.3">
      <c r="F788" s="39">
        <v>88.192544469303542</v>
      </c>
      <c r="G788" s="38">
        <v>787</v>
      </c>
    </row>
    <row r="789" spans="6:7" x14ac:dyDescent="0.3">
      <c r="F789" s="39">
        <v>95.363084435239045</v>
      </c>
      <c r="G789" s="40">
        <v>788</v>
      </c>
    </row>
    <row r="790" spans="6:7" x14ac:dyDescent="0.3">
      <c r="F790" s="39">
        <v>105.81779752048739</v>
      </c>
      <c r="G790" s="38">
        <v>789</v>
      </c>
    </row>
    <row r="791" spans="6:7" x14ac:dyDescent="0.3">
      <c r="F791" s="39">
        <v>106.89002379866413</v>
      </c>
      <c r="G791" s="40">
        <v>790</v>
      </c>
    </row>
    <row r="792" spans="6:7" x14ac:dyDescent="0.3">
      <c r="F792" s="39">
        <v>117.05579746407255</v>
      </c>
      <c r="G792" s="38">
        <v>791</v>
      </c>
    </row>
    <row r="793" spans="6:7" x14ac:dyDescent="0.3">
      <c r="F793" s="39">
        <v>303.66013757243741</v>
      </c>
      <c r="G793" s="40">
        <v>792</v>
      </c>
    </row>
    <row r="794" spans="6:7" x14ac:dyDescent="0.3">
      <c r="F794" s="39">
        <v>173.11203845545842</v>
      </c>
      <c r="G794" s="38">
        <v>793</v>
      </c>
    </row>
    <row r="795" spans="6:7" x14ac:dyDescent="0.3">
      <c r="F795" s="39">
        <v>176.90359338259049</v>
      </c>
      <c r="G795" s="40">
        <v>794</v>
      </c>
    </row>
    <row r="796" spans="6:7" x14ac:dyDescent="0.3">
      <c r="F796" s="39">
        <v>114.34544996142614</v>
      </c>
      <c r="G796" s="38">
        <v>795</v>
      </c>
    </row>
    <row r="797" spans="6:7" x14ac:dyDescent="0.3">
      <c r="F797" s="39">
        <v>84.889880766709439</v>
      </c>
      <c r="G797" s="40">
        <v>796</v>
      </c>
    </row>
    <row r="798" spans="6:7" x14ac:dyDescent="0.3">
      <c r="F798" s="39">
        <v>84.772287872655738</v>
      </c>
      <c r="G798" s="38">
        <v>797</v>
      </c>
    </row>
    <row r="799" spans="6:7" x14ac:dyDescent="0.3">
      <c r="F799" s="39">
        <v>87.707878145637324</v>
      </c>
      <c r="G799" s="40">
        <v>798</v>
      </c>
    </row>
    <row r="800" spans="6:7" x14ac:dyDescent="0.3">
      <c r="F800" s="39">
        <v>129.52577677390639</v>
      </c>
      <c r="G800" s="38">
        <v>799</v>
      </c>
    </row>
    <row r="801" spans="6:7" x14ac:dyDescent="0.3">
      <c r="F801" s="39">
        <v>191.110008379991</v>
      </c>
      <c r="G801" s="40">
        <v>800</v>
      </c>
    </row>
    <row r="802" spans="6:7" x14ac:dyDescent="0.3">
      <c r="F802" s="39">
        <v>82.336575493188221</v>
      </c>
      <c r="G802" s="38">
        <v>801</v>
      </c>
    </row>
    <row r="803" spans="6:7" x14ac:dyDescent="0.3">
      <c r="F803" s="39">
        <v>94.876667846965802</v>
      </c>
      <c r="G803" s="40">
        <v>802</v>
      </c>
    </row>
    <row r="804" spans="6:7" x14ac:dyDescent="0.3">
      <c r="F804" s="39">
        <v>123.41771596889701</v>
      </c>
      <c r="G804" s="38">
        <v>803</v>
      </c>
    </row>
    <row r="805" spans="6:7" x14ac:dyDescent="0.3">
      <c r="F805" s="39">
        <v>186.21465100025517</v>
      </c>
      <c r="G805" s="40">
        <v>804</v>
      </c>
    </row>
    <row r="806" spans="6:7" x14ac:dyDescent="0.3">
      <c r="F806" s="39">
        <v>81.933436560647877</v>
      </c>
      <c r="G806" s="38">
        <v>805</v>
      </c>
    </row>
    <row r="807" spans="6:7" x14ac:dyDescent="0.3">
      <c r="F807" s="39">
        <v>90.275896078630495</v>
      </c>
      <c r="G807" s="40">
        <v>806</v>
      </c>
    </row>
    <row r="808" spans="6:7" x14ac:dyDescent="0.3">
      <c r="F808" s="39">
        <v>86.500158048780918</v>
      </c>
      <c r="G808" s="38">
        <v>807</v>
      </c>
    </row>
    <row r="809" spans="6:7" x14ac:dyDescent="0.3">
      <c r="F809" s="39">
        <v>110.46173957859871</v>
      </c>
      <c r="G809" s="40">
        <v>808</v>
      </c>
    </row>
    <row r="810" spans="6:7" x14ac:dyDescent="0.3">
      <c r="F810" s="39">
        <v>84.345984921047958</v>
      </c>
      <c r="G810" s="38">
        <v>809</v>
      </c>
    </row>
    <row r="811" spans="6:7" x14ac:dyDescent="0.3">
      <c r="F811" s="39">
        <v>86.030456993454266</v>
      </c>
      <c r="G811" s="40">
        <v>810</v>
      </c>
    </row>
    <row r="812" spans="6:7" x14ac:dyDescent="0.3">
      <c r="F812" s="39">
        <v>175.62493637883588</v>
      </c>
      <c r="G812" s="38">
        <v>811</v>
      </c>
    </row>
    <row r="813" spans="6:7" x14ac:dyDescent="0.3">
      <c r="F813" s="39">
        <v>114.06542285326091</v>
      </c>
      <c r="G813" s="40">
        <v>812</v>
      </c>
    </row>
    <row r="814" spans="6:7" x14ac:dyDescent="0.3">
      <c r="F814" s="39">
        <v>99.291963313349612</v>
      </c>
      <c r="G814" s="38">
        <v>813</v>
      </c>
    </row>
    <row r="815" spans="6:7" x14ac:dyDescent="0.3">
      <c r="F815" s="39">
        <v>81.008227584478149</v>
      </c>
      <c r="G815" s="40">
        <v>814</v>
      </c>
    </row>
    <row r="816" spans="6:7" x14ac:dyDescent="0.3">
      <c r="F816" s="39">
        <v>102.71368023684188</v>
      </c>
      <c r="G816" s="38">
        <v>815</v>
      </c>
    </row>
    <row r="817" spans="6:7" x14ac:dyDescent="0.3">
      <c r="F817" s="39">
        <v>98.642391633781742</v>
      </c>
      <c r="G817" s="40">
        <v>816</v>
      </c>
    </row>
    <row r="818" spans="6:7" x14ac:dyDescent="0.3">
      <c r="F818" s="39">
        <v>95.783628304840619</v>
      </c>
      <c r="G818" s="38">
        <v>817</v>
      </c>
    </row>
    <row r="819" spans="6:7" x14ac:dyDescent="0.3">
      <c r="F819" s="39">
        <v>142.8802464313095</v>
      </c>
      <c r="G819" s="40">
        <v>818</v>
      </c>
    </row>
    <row r="820" spans="6:7" x14ac:dyDescent="0.3">
      <c r="F820" s="39">
        <v>88.904947411460313</v>
      </c>
      <c r="G820" s="38">
        <v>819</v>
      </c>
    </row>
    <row r="821" spans="6:7" x14ac:dyDescent="0.3">
      <c r="F821" s="39">
        <v>105.93693935098048</v>
      </c>
      <c r="G821" s="40">
        <v>820</v>
      </c>
    </row>
    <row r="822" spans="6:7" x14ac:dyDescent="0.3">
      <c r="F822" s="39">
        <v>290.8560321442942</v>
      </c>
      <c r="G822" s="38">
        <v>821</v>
      </c>
    </row>
    <row r="823" spans="6:7" x14ac:dyDescent="0.3">
      <c r="F823" s="39">
        <v>95.810313822183758</v>
      </c>
      <c r="G823" s="40">
        <v>822</v>
      </c>
    </row>
    <row r="824" spans="6:7" x14ac:dyDescent="0.3">
      <c r="F824" s="39">
        <v>83.492758566823412</v>
      </c>
      <c r="G824" s="38">
        <v>823</v>
      </c>
    </row>
    <row r="825" spans="6:7" x14ac:dyDescent="0.3">
      <c r="F825" s="39">
        <v>139.6310611655291</v>
      </c>
      <c r="G825" s="40">
        <v>824</v>
      </c>
    </row>
    <row r="826" spans="6:7" x14ac:dyDescent="0.3">
      <c r="F826" s="39">
        <v>86.267741623881903</v>
      </c>
      <c r="G826" s="38">
        <v>825</v>
      </c>
    </row>
    <row r="827" spans="6:7" x14ac:dyDescent="0.3">
      <c r="F827" s="39">
        <v>125.0427943140906</v>
      </c>
      <c r="G827" s="40">
        <v>826</v>
      </c>
    </row>
    <row r="828" spans="6:7" x14ac:dyDescent="0.3">
      <c r="F828" s="39">
        <v>84.229742831330825</v>
      </c>
      <c r="G828" s="38">
        <v>827</v>
      </c>
    </row>
    <row r="829" spans="6:7" x14ac:dyDescent="0.3">
      <c r="F829" s="39">
        <v>90.440164448046517</v>
      </c>
      <c r="G829" s="40">
        <v>828</v>
      </c>
    </row>
    <row r="830" spans="6:7" x14ac:dyDescent="0.3">
      <c r="F830" s="39">
        <v>117.02640188962965</v>
      </c>
      <c r="G830" s="38">
        <v>829</v>
      </c>
    </row>
    <row r="831" spans="6:7" x14ac:dyDescent="0.3">
      <c r="F831" s="39">
        <v>132.26062653269921</v>
      </c>
      <c r="G831" s="40">
        <v>830</v>
      </c>
    </row>
    <row r="832" spans="6:7" x14ac:dyDescent="0.3">
      <c r="F832" s="39">
        <v>92.166340111571941</v>
      </c>
      <c r="G832" s="38">
        <v>831</v>
      </c>
    </row>
    <row r="833" spans="6:7" x14ac:dyDescent="0.3">
      <c r="F833" s="39">
        <v>145.83121219734781</v>
      </c>
      <c r="G833" s="40">
        <v>832</v>
      </c>
    </row>
    <row r="834" spans="6:7" x14ac:dyDescent="0.3">
      <c r="F834" s="39">
        <v>86.217676693728379</v>
      </c>
      <c r="G834" s="38">
        <v>833</v>
      </c>
    </row>
    <row r="835" spans="6:7" x14ac:dyDescent="0.3">
      <c r="F835" s="39">
        <v>87.840486444687556</v>
      </c>
      <c r="G835" s="40">
        <v>834</v>
      </c>
    </row>
    <row r="836" spans="6:7" x14ac:dyDescent="0.3">
      <c r="F836" s="39">
        <v>94.858635168578672</v>
      </c>
      <c r="G836" s="38">
        <v>835</v>
      </c>
    </row>
    <row r="837" spans="6:7" x14ac:dyDescent="0.3">
      <c r="F837" s="39">
        <v>81.023961464903564</v>
      </c>
      <c r="G837" s="40">
        <v>836</v>
      </c>
    </row>
    <row r="838" spans="6:7" x14ac:dyDescent="0.3">
      <c r="F838" s="39">
        <v>111.21571419465866</v>
      </c>
      <c r="G838" s="38">
        <v>837</v>
      </c>
    </row>
    <row r="839" spans="6:7" x14ac:dyDescent="0.3">
      <c r="F839" s="39">
        <v>102.51098996905178</v>
      </c>
      <c r="G839" s="40">
        <v>838</v>
      </c>
    </row>
    <row r="840" spans="6:7" x14ac:dyDescent="0.3">
      <c r="F840" s="39">
        <v>96.335705339225214</v>
      </c>
      <c r="G840" s="38">
        <v>839</v>
      </c>
    </row>
    <row r="841" spans="6:7" x14ac:dyDescent="0.3">
      <c r="F841" s="39">
        <v>87.951477293547782</v>
      </c>
      <c r="G841" s="40">
        <v>840</v>
      </c>
    </row>
    <row r="842" spans="6:7" x14ac:dyDescent="0.3">
      <c r="F842" s="39">
        <v>83.040143518941903</v>
      </c>
      <c r="G842" s="38">
        <v>841</v>
      </c>
    </row>
    <row r="843" spans="6:7" x14ac:dyDescent="0.3">
      <c r="F843" s="39">
        <v>110.68138744407869</v>
      </c>
      <c r="G843" s="40">
        <v>842</v>
      </c>
    </row>
    <row r="844" spans="6:7" x14ac:dyDescent="0.3">
      <c r="F844" s="39">
        <v>203.00816133738039</v>
      </c>
      <c r="G844" s="38">
        <v>843</v>
      </c>
    </row>
    <row r="845" spans="6:7" x14ac:dyDescent="0.3">
      <c r="F845" s="39">
        <v>84.356973790502195</v>
      </c>
      <c r="G845" s="40">
        <v>844</v>
      </c>
    </row>
    <row r="846" spans="6:7" x14ac:dyDescent="0.3">
      <c r="F846" s="39">
        <v>126.91245880720317</v>
      </c>
      <c r="G846" s="38">
        <v>845</v>
      </c>
    </row>
    <row r="847" spans="6:7" x14ac:dyDescent="0.3">
      <c r="F847" s="39">
        <v>96.932595624974596</v>
      </c>
      <c r="G847" s="40">
        <v>846</v>
      </c>
    </row>
    <row r="848" spans="6:7" x14ac:dyDescent="0.3">
      <c r="F848" s="39">
        <v>87.484542359955242</v>
      </c>
      <c r="G848" s="38">
        <v>847</v>
      </c>
    </row>
    <row r="849" spans="6:7" x14ac:dyDescent="0.3">
      <c r="F849" s="39">
        <v>311.97785018680975</v>
      </c>
      <c r="G849" s="40">
        <v>848</v>
      </c>
    </row>
    <row r="850" spans="6:7" x14ac:dyDescent="0.3">
      <c r="F850" s="39">
        <v>86.192163233528873</v>
      </c>
      <c r="G850" s="38">
        <v>849</v>
      </c>
    </row>
    <row r="851" spans="6:7" x14ac:dyDescent="0.3">
      <c r="F851" s="39">
        <v>134.05299933874102</v>
      </c>
      <c r="G851" s="40">
        <v>850</v>
      </c>
    </row>
    <row r="852" spans="6:7" x14ac:dyDescent="0.3">
      <c r="F852" s="39">
        <v>89.977955564123107</v>
      </c>
      <c r="G852" s="38">
        <v>851</v>
      </c>
    </row>
    <row r="853" spans="6:7" x14ac:dyDescent="0.3">
      <c r="F853" s="39">
        <v>137.1403170310079</v>
      </c>
      <c r="G853" s="40">
        <v>852</v>
      </c>
    </row>
    <row r="854" spans="6:7" x14ac:dyDescent="0.3">
      <c r="F854" s="39">
        <v>86.16967634203607</v>
      </c>
      <c r="G854" s="38">
        <v>853</v>
      </c>
    </row>
    <row r="855" spans="6:7" x14ac:dyDescent="0.3">
      <c r="F855" s="39">
        <v>89.00597691719662</v>
      </c>
      <c r="G855" s="40">
        <v>854</v>
      </c>
    </row>
    <row r="856" spans="6:7" x14ac:dyDescent="0.3">
      <c r="F856" s="39">
        <v>100.20019050009326</v>
      </c>
      <c r="G856" s="38">
        <v>855</v>
      </c>
    </row>
    <row r="857" spans="6:7" x14ac:dyDescent="0.3">
      <c r="F857" s="39">
        <v>87.999090014919602</v>
      </c>
      <c r="G857" s="40">
        <v>856</v>
      </c>
    </row>
    <row r="858" spans="6:7" x14ac:dyDescent="0.3">
      <c r="F858" s="39">
        <v>83.041518174502741</v>
      </c>
      <c r="G858" s="38">
        <v>857</v>
      </c>
    </row>
    <row r="859" spans="6:7" x14ac:dyDescent="0.3">
      <c r="F859" s="39">
        <v>167.66647999059734</v>
      </c>
      <c r="G859" s="40">
        <v>858</v>
      </c>
    </row>
    <row r="860" spans="6:7" x14ac:dyDescent="0.3">
      <c r="F860" s="39">
        <v>82.230671434101893</v>
      </c>
      <c r="G860" s="38">
        <v>859</v>
      </c>
    </row>
    <row r="861" spans="6:7" x14ac:dyDescent="0.3">
      <c r="F861" s="39">
        <v>137.28572387983604</v>
      </c>
      <c r="G861" s="40">
        <v>860</v>
      </c>
    </row>
    <row r="862" spans="6:7" x14ac:dyDescent="0.3">
      <c r="F862" s="39">
        <v>82.96363310074419</v>
      </c>
      <c r="G862" s="38">
        <v>861</v>
      </c>
    </row>
    <row r="863" spans="6:7" x14ac:dyDescent="0.3">
      <c r="F863" s="39">
        <v>86.856883014023907</v>
      </c>
      <c r="G863" s="40">
        <v>862</v>
      </c>
    </row>
    <row r="864" spans="6:7" x14ac:dyDescent="0.3">
      <c r="F864" s="39">
        <v>81.331660692362917</v>
      </c>
      <c r="G864" s="38">
        <v>863</v>
      </c>
    </row>
    <row r="865" spans="6:7" x14ac:dyDescent="0.3">
      <c r="F865" s="39">
        <v>93.457330622429453</v>
      </c>
      <c r="G865" s="40">
        <v>864</v>
      </c>
    </row>
    <row r="866" spans="6:7" x14ac:dyDescent="0.3">
      <c r="F866" s="39">
        <v>82.950628893284673</v>
      </c>
      <c r="G866" s="38">
        <v>865</v>
      </c>
    </row>
    <row r="867" spans="6:7" x14ac:dyDescent="0.3">
      <c r="F867" s="39">
        <v>81.73073413836056</v>
      </c>
      <c r="G867" s="40">
        <v>866</v>
      </c>
    </row>
    <row r="868" spans="6:7" x14ac:dyDescent="0.3">
      <c r="F868" s="39">
        <v>116.32156020251595</v>
      </c>
      <c r="G868" s="38">
        <v>867</v>
      </c>
    </row>
    <row r="869" spans="6:7" x14ac:dyDescent="0.3">
      <c r="F869" s="39">
        <v>155.57526599060566</v>
      </c>
      <c r="G869" s="40">
        <v>868</v>
      </c>
    </row>
    <row r="870" spans="6:7" x14ac:dyDescent="0.3">
      <c r="F870" s="39">
        <v>82.319245271913104</v>
      </c>
      <c r="G870" s="38">
        <v>869</v>
      </c>
    </row>
    <row r="871" spans="6:7" x14ac:dyDescent="0.3">
      <c r="F871" s="39">
        <v>85.076214883336959</v>
      </c>
      <c r="G871" s="40">
        <v>870</v>
      </c>
    </row>
    <row r="872" spans="6:7" x14ac:dyDescent="0.3">
      <c r="F872" s="39">
        <v>94.641862710921629</v>
      </c>
      <c r="G872" s="38">
        <v>871</v>
      </c>
    </row>
    <row r="873" spans="6:7" x14ac:dyDescent="0.3">
      <c r="F873" s="39">
        <v>85.33254994632081</v>
      </c>
      <c r="G873" s="40">
        <v>872</v>
      </c>
    </row>
    <row r="874" spans="6:7" x14ac:dyDescent="0.3">
      <c r="F874" s="39">
        <v>83.326497014641632</v>
      </c>
      <c r="G874" s="38">
        <v>873</v>
      </c>
    </row>
    <row r="875" spans="6:7" x14ac:dyDescent="0.3">
      <c r="F875" s="39">
        <v>99.074123373113693</v>
      </c>
      <c r="G875" s="40">
        <v>874</v>
      </c>
    </row>
    <row r="876" spans="6:7" x14ac:dyDescent="0.3">
      <c r="F876" s="39">
        <v>86.027598257318317</v>
      </c>
      <c r="G876" s="38">
        <v>875</v>
      </c>
    </row>
    <row r="877" spans="6:7" x14ac:dyDescent="0.3">
      <c r="F877" s="39">
        <v>128.79502242093062</v>
      </c>
      <c r="G877" s="40">
        <v>876</v>
      </c>
    </row>
    <row r="878" spans="6:7" x14ac:dyDescent="0.3">
      <c r="F878" s="39">
        <v>98.095860740837082</v>
      </c>
      <c r="G878" s="38">
        <v>877</v>
      </c>
    </row>
    <row r="879" spans="6:7" x14ac:dyDescent="0.3">
      <c r="F879" s="39">
        <v>94.348977568791824</v>
      </c>
      <c r="G879" s="40">
        <v>878</v>
      </c>
    </row>
    <row r="880" spans="6:7" x14ac:dyDescent="0.3">
      <c r="F880" s="39">
        <v>83.479209190239729</v>
      </c>
      <c r="G880" s="38">
        <v>879</v>
      </c>
    </row>
    <row r="881" spans="6:7" x14ac:dyDescent="0.3">
      <c r="F881" s="39">
        <v>119.87079079545242</v>
      </c>
      <c r="G881" s="40">
        <v>880</v>
      </c>
    </row>
    <row r="882" spans="6:7" x14ac:dyDescent="0.3">
      <c r="F882" s="39">
        <v>90.379837000931815</v>
      </c>
      <c r="G882" s="38">
        <v>881</v>
      </c>
    </row>
    <row r="883" spans="6:7" x14ac:dyDescent="0.3">
      <c r="F883" s="39">
        <v>94.691834845729574</v>
      </c>
      <c r="G883" s="40">
        <v>882</v>
      </c>
    </row>
    <row r="884" spans="6:7" x14ac:dyDescent="0.3">
      <c r="F884" s="39">
        <v>166.90575828267944</v>
      </c>
      <c r="G884" s="38">
        <v>883</v>
      </c>
    </row>
    <row r="885" spans="6:7" x14ac:dyDescent="0.3">
      <c r="F885" s="39">
        <v>155.47318713916877</v>
      </c>
      <c r="G885" s="40">
        <v>884</v>
      </c>
    </row>
    <row r="886" spans="6:7" x14ac:dyDescent="0.3">
      <c r="F886" s="39">
        <v>85.881796738189379</v>
      </c>
      <c r="G886" s="38">
        <v>885</v>
      </c>
    </row>
    <row r="887" spans="6:7" x14ac:dyDescent="0.3">
      <c r="F887" s="39">
        <v>94.042840104419753</v>
      </c>
      <c r="G887" s="40">
        <v>886</v>
      </c>
    </row>
    <row r="888" spans="6:7" x14ac:dyDescent="0.3">
      <c r="F888" s="39">
        <v>107.9365284498992</v>
      </c>
      <c r="G888" s="38">
        <v>887</v>
      </c>
    </row>
    <row r="889" spans="6:7" x14ac:dyDescent="0.3">
      <c r="F889" s="39">
        <v>83.938199931804164</v>
      </c>
      <c r="G889" s="40">
        <v>888</v>
      </c>
    </row>
    <row r="890" spans="6:7" x14ac:dyDescent="0.3">
      <c r="F890" s="39">
        <v>108.55600996006079</v>
      </c>
      <c r="G890" s="38">
        <v>889</v>
      </c>
    </row>
    <row r="891" spans="6:7" x14ac:dyDescent="0.3">
      <c r="F891" s="39">
        <v>144.589381476005</v>
      </c>
      <c r="G891" s="40">
        <v>890</v>
      </c>
    </row>
    <row r="892" spans="6:7" x14ac:dyDescent="0.3">
      <c r="F892" s="39">
        <v>93.568922072416143</v>
      </c>
      <c r="G892" s="38">
        <v>891</v>
      </c>
    </row>
    <row r="893" spans="6:7" x14ac:dyDescent="0.3">
      <c r="F893" s="39">
        <v>81.155700024817492</v>
      </c>
      <c r="G893" s="40">
        <v>892</v>
      </c>
    </row>
    <row r="894" spans="6:7" x14ac:dyDescent="0.3">
      <c r="F894" s="39">
        <v>99.469735116594734</v>
      </c>
      <c r="G894" s="38">
        <v>893</v>
      </c>
    </row>
    <row r="895" spans="6:7" x14ac:dyDescent="0.3">
      <c r="F895" s="39">
        <v>127.69036395066485</v>
      </c>
      <c r="G895" s="40">
        <v>894</v>
      </c>
    </row>
    <row r="896" spans="6:7" x14ac:dyDescent="0.3">
      <c r="F896" s="39">
        <v>86.406530471703704</v>
      </c>
      <c r="G896" s="38">
        <v>895</v>
      </c>
    </row>
    <row r="897" spans="6:7" x14ac:dyDescent="0.3">
      <c r="F897" s="39">
        <v>84.556349094159842</v>
      </c>
      <c r="G897" s="40">
        <v>896</v>
      </c>
    </row>
    <row r="898" spans="6:7" x14ac:dyDescent="0.3">
      <c r="F898" s="39">
        <v>104.08682050203613</v>
      </c>
      <c r="G898" s="38">
        <v>897</v>
      </c>
    </row>
    <row r="899" spans="6:7" x14ac:dyDescent="0.3">
      <c r="F899" s="39">
        <v>89.740221078487068</v>
      </c>
      <c r="G899" s="40">
        <v>898</v>
      </c>
    </row>
    <row r="900" spans="6:7" x14ac:dyDescent="0.3">
      <c r="F900" s="39">
        <v>128.76860344401109</v>
      </c>
      <c r="G900" s="38">
        <v>899</v>
      </c>
    </row>
    <row r="901" spans="6:7" x14ac:dyDescent="0.3">
      <c r="F901" s="39">
        <v>124.39865603813195</v>
      </c>
      <c r="G901" s="40">
        <v>900</v>
      </c>
    </row>
    <row r="902" spans="6:7" x14ac:dyDescent="0.3">
      <c r="F902" s="39">
        <v>89.081705679679629</v>
      </c>
      <c r="G902" s="38">
        <v>901</v>
      </c>
    </row>
    <row r="903" spans="6:7" x14ac:dyDescent="0.3">
      <c r="F903" s="39">
        <v>100.414849677063</v>
      </c>
      <c r="G903" s="40">
        <v>902</v>
      </c>
    </row>
    <row r="904" spans="6:7" x14ac:dyDescent="0.3">
      <c r="F904" s="39">
        <v>87.918525697789164</v>
      </c>
      <c r="G904" s="38">
        <v>903</v>
      </c>
    </row>
    <row r="905" spans="6:7" x14ac:dyDescent="0.3">
      <c r="F905" s="39">
        <v>154.18188123824976</v>
      </c>
      <c r="G905" s="40">
        <v>904</v>
      </c>
    </row>
    <row r="906" spans="6:7" x14ac:dyDescent="0.3">
      <c r="F906" s="39">
        <v>91.954306091362525</v>
      </c>
      <c r="G906" s="38">
        <v>905</v>
      </c>
    </row>
    <row r="907" spans="6:7" x14ac:dyDescent="0.3">
      <c r="F907" s="39">
        <v>84.543428608535635</v>
      </c>
      <c r="G907" s="40">
        <v>906</v>
      </c>
    </row>
    <row r="908" spans="6:7" x14ac:dyDescent="0.3">
      <c r="F908" s="39">
        <v>289.57850093963236</v>
      </c>
      <c r="G908" s="38">
        <v>907</v>
      </c>
    </row>
    <row r="909" spans="6:7" x14ac:dyDescent="0.3">
      <c r="F909" s="39">
        <v>88.402584534363712</v>
      </c>
      <c r="G909" s="40">
        <v>908</v>
      </c>
    </row>
    <row r="910" spans="6:7" x14ac:dyDescent="0.3">
      <c r="F910" s="39">
        <v>165.42174150334509</v>
      </c>
      <c r="G910" s="38">
        <v>909</v>
      </c>
    </row>
    <row r="911" spans="6:7" x14ac:dyDescent="0.3">
      <c r="F911" s="39">
        <v>83.787280070174802</v>
      </c>
      <c r="G911" s="40">
        <v>910</v>
      </c>
    </row>
    <row r="912" spans="6:7" x14ac:dyDescent="0.3">
      <c r="F912" s="39">
        <v>91.860669798179117</v>
      </c>
      <c r="G912" s="38">
        <v>911</v>
      </c>
    </row>
    <row r="913" spans="6:7" x14ac:dyDescent="0.3">
      <c r="F913" s="39">
        <v>91.525409212750532</v>
      </c>
      <c r="G913" s="40">
        <v>912</v>
      </c>
    </row>
    <row r="914" spans="6:7" x14ac:dyDescent="0.3">
      <c r="F914" s="39">
        <v>83.999478966614632</v>
      </c>
      <c r="G914" s="38">
        <v>913</v>
      </c>
    </row>
    <row r="915" spans="6:7" x14ac:dyDescent="0.3">
      <c r="F915" s="39">
        <v>100.13484666273389</v>
      </c>
      <c r="G915" s="40">
        <v>914</v>
      </c>
    </row>
    <row r="916" spans="6:7" x14ac:dyDescent="0.3">
      <c r="F916" s="39">
        <v>85.681781134300309</v>
      </c>
      <c r="G916" s="38">
        <v>915</v>
      </c>
    </row>
    <row r="917" spans="6:7" x14ac:dyDescent="0.3">
      <c r="F917" s="39">
        <v>86.378538790290307</v>
      </c>
      <c r="G917" s="40">
        <v>916</v>
      </c>
    </row>
    <row r="918" spans="6:7" x14ac:dyDescent="0.3">
      <c r="F918" s="39">
        <v>83.159368505341959</v>
      </c>
      <c r="G918" s="38">
        <v>917</v>
      </c>
    </row>
    <row r="919" spans="6:7" x14ac:dyDescent="0.3">
      <c r="F919" s="39">
        <v>81.953562010163537</v>
      </c>
      <c r="G919" s="40">
        <v>918</v>
      </c>
    </row>
    <row r="920" spans="6:7" x14ac:dyDescent="0.3">
      <c r="F920" s="39">
        <v>96.417233518499657</v>
      </c>
      <c r="G920" s="38">
        <v>919</v>
      </c>
    </row>
    <row r="921" spans="6:7" x14ac:dyDescent="0.3">
      <c r="F921" s="39">
        <v>103.06613631937732</v>
      </c>
      <c r="G921" s="40">
        <v>920</v>
      </c>
    </row>
    <row r="922" spans="6:7" x14ac:dyDescent="0.3">
      <c r="F922" s="39">
        <v>160.84306863669295</v>
      </c>
      <c r="G922" s="38">
        <v>921</v>
      </c>
    </row>
    <row r="923" spans="6:7" x14ac:dyDescent="0.3">
      <c r="F923" s="39">
        <v>105.53738884529636</v>
      </c>
      <c r="G923" s="40">
        <v>922</v>
      </c>
    </row>
    <row r="924" spans="6:7" x14ac:dyDescent="0.3">
      <c r="F924" s="39">
        <v>107.17912691217946</v>
      </c>
      <c r="G924" s="38">
        <v>923</v>
      </c>
    </row>
    <row r="925" spans="6:7" x14ac:dyDescent="0.3">
      <c r="F925" s="39">
        <v>93.602991958672149</v>
      </c>
      <c r="G925" s="40">
        <v>924</v>
      </c>
    </row>
    <row r="926" spans="6:7" x14ac:dyDescent="0.3">
      <c r="F926" s="39">
        <v>122.29318419572812</v>
      </c>
      <c r="G926" s="38">
        <v>925</v>
      </c>
    </row>
    <row r="927" spans="6:7" x14ac:dyDescent="0.3">
      <c r="F927" s="39">
        <v>121.48035841194051</v>
      </c>
      <c r="G927" s="40">
        <v>926</v>
      </c>
    </row>
    <row r="928" spans="6:7" x14ac:dyDescent="0.3">
      <c r="F928" s="39">
        <v>184.66673576972426</v>
      </c>
      <c r="G928" s="38">
        <v>927</v>
      </c>
    </row>
    <row r="929" spans="6:7" x14ac:dyDescent="0.3">
      <c r="F929" s="39">
        <v>139.64610788098634</v>
      </c>
      <c r="G929" s="40">
        <v>928</v>
      </c>
    </row>
    <row r="930" spans="6:7" x14ac:dyDescent="0.3">
      <c r="F930" s="39">
        <v>86.463023350078686</v>
      </c>
      <c r="G930" s="38">
        <v>929</v>
      </c>
    </row>
    <row r="931" spans="6:7" x14ac:dyDescent="0.3">
      <c r="F931" s="39">
        <v>88.8614831436591</v>
      </c>
      <c r="G931" s="40">
        <v>930</v>
      </c>
    </row>
    <row r="932" spans="6:7" x14ac:dyDescent="0.3">
      <c r="F932" s="39">
        <v>144.06980882156989</v>
      </c>
      <c r="G932" s="38">
        <v>931</v>
      </c>
    </row>
    <row r="933" spans="6:7" x14ac:dyDescent="0.3">
      <c r="F933" s="39">
        <v>96.040062133656079</v>
      </c>
      <c r="G933" s="40">
        <v>932</v>
      </c>
    </row>
    <row r="934" spans="6:7" x14ac:dyDescent="0.3">
      <c r="F934" s="39">
        <v>85.929258790914417</v>
      </c>
      <c r="G934" s="38">
        <v>933</v>
      </c>
    </row>
    <row r="935" spans="6:7" x14ac:dyDescent="0.3">
      <c r="F935" s="39">
        <v>91.713236045653488</v>
      </c>
      <c r="G935" s="40">
        <v>934</v>
      </c>
    </row>
    <row r="936" spans="6:7" x14ac:dyDescent="0.3">
      <c r="F936" s="39">
        <v>111.27844064785677</v>
      </c>
      <c r="G936" s="38">
        <v>935</v>
      </c>
    </row>
    <row r="937" spans="6:7" x14ac:dyDescent="0.3">
      <c r="F937" s="39">
        <v>86.645755914259311</v>
      </c>
      <c r="G937" s="40">
        <v>936</v>
      </c>
    </row>
    <row r="938" spans="6:7" x14ac:dyDescent="0.3">
      <c r="F938" s="39">
        <v>83.272256132573645</v>
      </c>
      <c r="G938" s="38">
        <v>937</v>
      </c>
    </row>
    <row r="939" spans="6:7" x14ac:dyDescent="0.3">
      <c r="F939" s="39">
        <v>190.48017608546303</v>
      </c>
      <c r="G939" s="40">
        <v>938</v>
      </c>
    </row>
    <row r="940" spans="6:7" x14ac:dyDescent="0.3">
      <c r="F940" s="39">
        <v>86.710136609965573</v>
      </c>
      <c r="G940" s="38">
        <v>939</v>
      </c>
    </row>
    <row r="941" spans="6:7" x14ac:dyDescent="0.3">
      <c r="F941" s="39">
        <v>87.431152750468314</v>
      </c>
      <c r="G941" s="40">
        <v>940</v>
      </c>
    </row>
    <row r="942" spans="6:7" x14ac:dyDescent="0.3">
      <c r="F942" s="39">
        <v>88.350350672055058</v>
      </c>
      <c r="G942" s="38">
        <v>941</v>
      </c>
    </row>
    <row r="943" spans="6:7" x14ac:dyDescent="0.3">
      <c r="F943" s="39">
        <v>106.70288926156609</v>
      </c>
      <c r="G943" s="40">
        <v>942</v>
      </c>
    </row>
    <row r="944" spans="6:7" x14ac:dyDescent="0.3">
      <c r="F944" s="39">
        <v>87.302570176243165</v>
      </c>
      <c r="G944" s="38">
        <v>943</v>
      </c>
    </row>
    <row r="945" spans="6:7" x14ac:dyDescent="0.3">
      <c r="F945" s="39">
        <v>102.49959988285056</v>
      </c>
      <c r="G945" s="40">
        <v>944</v>
      </c>
    </row>
    <row r="946" spans="6:7" x14ac:dyDescent="0.3">
      <c r="F946" s="39">
        <v>95.158148313822267</v>
      </c>
      <c r="G946" s="38">
        <v>945</v>
      </c>
    </row>
    <row r="947" spans="6:7" x14ac:dyDescent="0.3">
      <c r="F947" s="39">
        <v>132.46342713221608</v>
      </c>
      <c r="G947" s="40">
        <v>946</v>
      </c>
    </row>
    <row r="948" spans="6:7" x14ac:dyDescent="0.3">
      <c r="F948" s="39">
        <v>86.928886852613971</v>
      </c>
      <c r="G948" s="38">
        <v>947</v>
      </c>
    </row>
    <row r="949" spans="6:7" x14ac:dyDescent="0.3">
      <c r="F949" s="39">
        <v>221.03980551527616</v>
      </c>
      <c r="G949" s="40">
        <v>948</v>
      </c>
    </row>
    <row r="950" spans="6:7" x14ac:dyDescent="0.3">
      <c r="F950" s="39">
        <v>88.894219778830532</v>
      </c>
      <c r="G950" s="38">
        <v>949</v>
      </c>
    </row>
    <row r="951" spans="6:7" x14ac:dyDescent="0.3">
      <c r="F951" s="39">
        <v>94.85803799245187</v>
      </c>
      <c r="G951" s="40">
        <v>950</v>
      </c>
    </row>
    <row r="952" spans="6:7" x14ac:dyDescent="0.3">
      <c r="F952" s="39">
        <v>104.0747122585265</v>
      </c>
      <c r="G952" s="38">
        <v>951</v>
      </c>
    </row>
    <row r="953" spans="6:7" x14ac:dyDescent="0.3">
      <c r="F953" s="39">
        <v>83.745041972961701</v>
      </c>
      <c r="G953" s="40">
        <v>952</v>
      </c>
    </row>
    <row r="954" spans="6:7" x14ac:dyDescent="0.3">
      <c r="F954" s="39">
        <v>87.358013179593101</v>
      </c>
      <c r="G954" s="38">
        <v>953</v>
      </c>
    </row>
    <row r="955" spans="6:7" x14ac:dyDescent="0.3">
      <c r="F955" s="39">
        <v>82.598510524693481</v>
      </c>
      <c r="G955" s="40">
        <v>954</v>
      </c>
    </row>
    <row r="956" spans="6:7" x14ac:dyDescent="0.3">
      <c r="F956" s="39">
        <v>113.60687432427578</v>
      </c>
      <c r="G956" s="38">
        <v>955</v>
      </c>
    </row>
    <row r="957" spans="6:7" x14ac:dyDescent="0.3">
      <c r="F957" s="39">
        <v>92.032431826449397</v>
      </c>
      <c r="G957" s="40">
        <v>956</v>
      </c>
    </row>
    <row r="958" spans="6:7" x14ac:dyDescent="0.3">
      <c r="F958" s="39">
        <v>97.796615138694293</v>
      </c>
      <c r="G958" s="38">
        <v>957</v>
      </c>
    </row>
    <row r="959" spans="6:7" x14ac:dyDescent="0.3">
      <c r="F959" s="39">
        <v>118.61779551141414</v>
      </c>
      <c r="G959" s="40">
        <v>958</v>
      </c>
    </row>
    <row r="960" spans="6:7" x14ac:dyDescent="0.3">
      <c r="F960" s="39">
        <v>93.052174846968455</v>
      </c>
      <c r="G960" s="38">
        <v>959</v>
      </c>
    </row>
    <row r="961" spans="6:7" x14ac:dyDescent="0.3">
      <c r="F961" s="39">
        <v>85.560592431284277</v>
      </c>
      <c r="G961" s="40">
        <v>960</v>
      </c>
    </row>
    <row r="962" spans="6:7" x14ac:dyDescent="0.3">
      <c r="F962" s="39">
        <v>89.928492244324104</v>
      </c>
      <c r="G962" s="38">
        <v>961</v>
      </c>
    </row>
    <row r="963" spans="6:7" x14ac:dyDescent="0.3">
      <c r="F963" s="39">
        <v>83.632041724786703</v>
      </c>
      <c r="G963" s="40">
        <v>962</v>
      </c>
    </row>
    <row r="964" spans="6:7" x14ac:dyDescent="0.3">
      <c r="F964" s="39">
        <v>97.036653301531118</v>
      </c>
      <c r="G964" s="38">
        <v>963</v>
      </c>
    </row>
    <row r="965" spans="6:7" x14ac:dyDescent="0.3">
      <c r="F965" s="39">
        <v>86.058574610202385</v>
      </c>
      <c r="G965" s="40">
        <v>964</v>
      </c>
    </row>
    <row r="966" spans="6:7" x14ac:dyDescent="0.3">
      <c r="F966" s="39">
        <v>128.16899661128696</v>
      </c>
      <c r="G966" s="38">
        <v>965</v>
      </c>
    </row>
    <row r="967" spans="6:7" x14ac:dyDescent="0.3">
      <c r="F967" s="39">
        <v>88.66313093720747</v>
      </c>
      <c r="G967" s="40">
        <v>966</v>
      </c>
    </row>
    <row r="968" spans="6:7" x14ac:dyDescent="0.3">
      <c r="F968" s="39">
        <v>81.610263521886893</v>
      </c>
      <c r="G968" s="38">
        <v>967</v>
      </c>
    </row>
    <row r="969" spans="6:7" x14ac:dyDescent="0.3">
      <c r="F969" s="39">
        <v>92.62246169819926</v>
      </c>
      <c r="G969" s="40">
        <v>968</v>
      </c>
    </row>
    <row r="970" spans="6:7" x14ac:dyDescent="0.3">
      <c r="F970" s="39">
        <v>83.883721809652968</v>
      </c>
      <c r="G970" s="38">
        <v>969</v>
      </c>
    </row>
    <row r="971" spans="6:7" x14ac:dyDescent="0.3">
      <c r="F971" s="39">
        <v>92.842548507613586</v>
      </c>
      <c r="G971" s="40">
        <v>970</v>
      </c>
    </row>
    <row r="972" spans="6:7" x14ac:dyDescent="0.3">
      <c r="F972" s="39">
        <v>87.138739789934334</v>
      </c>
      <c r="G972" s="38">
        <v>971</v>
      </c>
    </row>
    <row r="973" spans="6:7" x14ac:dyDescent="0.3">
      <c r="F973" s="39">
        <v>98.692882378685226</v>
      </c>
      <c r="G973" s="40">
        <v>972</v>
      </c>
    </row>
    <row r="974" spans="6:7" x14ac:dyDescent="0.3">
      <c r="F974" s="39">
        <v>411.66071709431344</v>
      </c>
      <c r="G974" s="38">
        <v>973</v>
      </c>
    </row>
    <row r="975" spans="6:7" x14ac:dyDescent="0.3">
      <c r="F975" s="39">
        <v>121.67722938782316</v>
      </c>
      <c r="G975" s="40">
        <v>974</v>
      </c>
    </row>
    <row r="976" spans="6:7" x14ac:dyDescent="0.3">
      <c r="F976" s="39">
        <v>81.645687604391028</v>
      </c>
      <c r="G976" s="38">
        <v>975</v>
      </c>
    </row>
    <row r="977" spans="6:7" x14ac:dyDescent="0.3">
      <c r="F977" s="39">
        <v>81.55961934428106</v>
      </c>
      <c r="G977" s="40">
        <v>976</v>
      </c>
    </row>
    <row r="978" spans="6:7" x14ac:dyDescent="0.3">
      <c r="F978" s="39">
        <v>87.207011275839307</v>
      </c>
      <c r="G978" s="38">
        <v>977</v>
      </c>
    </row>
    <row r="979" spans="6:7" x14ac:dyDescent="0.3">
      <c r="F979" s="39">
        <v>117.2264910263543</v>
      </c>
      <c r="G979" s="40">
        <v>978</v>
      </c>
    </row>
    <row r="980" spans="6:7" x14ac:dyDescent="0.3">
      <c r="F980" s="39">
        <v>95.917067781384034</v>
      </c>
      <c r="G980" s="38">
        <v>979</v>
      </c>
    </row>
    <row r="981" spans="6:7" x14ac:dyDescent="0.3">
      <c r="F981" s="39">
        <v>83.516382869006847</v>
      </c>
      <c r="G981" s="40">
        <v>980</v>
      </c>
    </row>
    <row r="982" spans="6:7" x14ac:dyDescent="0.3">
      <c r="F982" s="39">
        <v>82.910087960963423</v>
      </c>
      <c r="G982" s="38">
        <v>981</v>
      </c>
    </row>
    <row r="983" spans="6:7" x14ac:dyDescent="0.3">
      <c r="F983" s="39">
        <v>85.395843733191043</v>
      </c>
      <c r="G983" s="40">
        <v>982</v>
      </c>
    </row>
    <row r="984" spans="6:7" x14ac:dyDescent="0.3">
      <c r="F984" s="39">
        <v>88.459886163919577</v>
      </c>
      <c r="G984" s="38">
        <v>983</v>
      </c>
    </row>
    <row r="985" spans="6:7" x14ac:dyDescent="0.3">
      <c r="F985" s="39">
        <v>99.013626583909627</v>
      </c>
      <c r="G985" s="40">
        <v>984</v>
      </c>
    </row>
    <row r="986" spans="6:7" x14ac:dyDescent="0.3">
      <c r="F986" s="39">
        <v>96.574548601273051</v>
      </c>
      <c r="G986" s="38">
        <v>985</v>
      </c>
    </row>
    <row r="987" spans="6:7" x14ac:dyDescent="0.3">
      <c r="F987" s="39">
        <v>84.548217711541469</v>
      </c>
      <c r="G987" s="40">
        <v>986</v>
      </c>
    </row>
    <row r="988" spans="6:7" x14ac:dyDescent="0.3">
      <c r="F988" s="39">
        <v>86.50737764645352</v>
      </c>
      <c r="G988" s="38">
        <v>987</v>
      </c>
    </row>
    <row r="989" spans="6:7" x14ac:dyDescent="0.3">
      <c r="F989" s="39">
        <v>93.346300984321658</v>
      </c>
      <c r="G989" s="40">
        <v>988</v>
      </c>
    </row>
    <row r="990" spans="6:7" x14ac:dyDescent="0.3">
      <c r="F990" s="39">
        <v>87.216707068396389</v>
      </c>
      <c r="G990" s="38">
        <v>989</v>
      </c>
    </row>
    <row r="991" spans="6:7" x14ac:dyDescent="0.3">
      <c r="F991" s="39">
        <v>83.770533380001112</v>
      </c>
      <c r="G991" s="40">
        <v>990</v>
      </c>
    </row>
    <row r="992" spans="6:7" x14ac:dyDescent="0.3">
      <c r="F992" s="39">
        <v>85.410771471666095</v>
      </c>
      <c r="G992" s="38">
        <v>991</v>
      </c>
    </row>
    <row r="993" spans="6:7" x14ac:dyDescent="0.3">
      <c r="F993" s="39">
        <v>105.79407257936242</v>
      </c>
      <c r="G993" s="40">
        <v>992</v>
      </c>
    </row>
    <row r="994" spans="6:7" x14ac:dyDescent="0.3">
      <c r="F994" s="39">
        <v>230.21118762748699</v>
      </c>
      <c r="G994" s="38">
        <v>993</v>
      </c>
    </row>
    <row r="995" spans="6:7" x14ac:dyDescent="0.3">
      <c r="F995" s="39">
        <v>107.42069372938853</v>
      </c>
      <c r="G995" s="40">
        <v>994</v>
      </c>
    </row>
    <row r="996" spans="6:7" x14ac:dyDescent="0.3">
      <c r="F996" s="39">
        <v>109.33830453509185</v>
      </c>
      <c r="G996" s="38">
        <v>995</v>
      </c>
    </row>
    <row r="997" spans="6:7" x14ac:dyDescent="0.3">
      <c r="F997" s="39">
        <v>124.05520911999696</v>
      </c>
      <c r="G997" s="40">
        <v>996</v>
      </c>
    </row>
    <row r="998" spans="6:7" x14ac:dyDescent="0.3">
      <c r="F998" s="39">
        <v>438.52295672567629</v>
      </c>
      <c r="G998" s="38">
        <v>997</v>
      </c>
    </row>
    <row r="999" spans="6:7" x14ac:dyDescent="0.3">
      <c r="F999" s="39">
        <v>91.168248265346591</v>
      </c>
      <c r="G999" s="40">
        <v>998</v>
      </c>
    </row>
    <row r="1000" spans="6:7" x14ac:dyDescent="0.3">
      <c r="F1000" s="39">
        <v>83.318121559369644</v>
      </c>
      <c r="G1000" s="38">
        <v>999</v>
      </c>
    </row>
    <row r="1001" spans="6:7" x14ac:dyDescent="0.3">
      <c r="F1001" s="41">
        <v>89.719876913459672</v>
      </c>
      <c r="G1001" s="42">
        <v>1000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STOP LOSS</vt:lpstr>
      <vt:lpstr>OBPI</vt:lpstr>
      <vt:lpstr> CPPI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ABIKANLOU</dc:creator>
  <cp:lastModifiedBy>ABIKANLOU</cp:lastModifiedBy>
  <cp:lastPrinted>2026-01-07T12:48:45Z</cp:lastPrinted>
  <dcterms:created xsi:type="dcterms:W3CDTF">2025-12-18T11:49:09Z</dcterms:created>
  <dcterms:modified xsi:type="dcterms:W3CDTF">2026-01-07T19:06:12Z</dcterms:modified>
</cp:coreProperties>
</file>